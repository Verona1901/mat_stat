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Verona\GeekBrains\7. Теория вероятностей и математическая статистика\1\"/>
    </mc:Choice>
  </mc:AlternateContent>
  <xr:revisionPtr revIDLastSave="0" documentId="13_ncr:1_{A685F7DC-6C6B-4A5A-B91E-784968A6E877}" xr6:coauthVersionLast="47" xr6:coauthVersionMax="47" xr10:uidLastSave="{00000000-0000-0000-0000-000000000000}"/>
  <bookViews>
    <workbookView xWindow="-108" yWindow="-108" windowWidth="23256" windowHeight="12456" activeTab="3" xr2:uid="{7A3C373F-BCA3-4BFE-ADEA-977BFB33533D}"/>
  </bookViews>
  <sheets>
    <sheet name="4" sheetId="1" r:id="rId1"/>
    <sheet name="3" sheetId="2" r:id="rId2"/>
    <sheet name="2" sheetId="3" r:id="rId3"/>
    <sheet name="1" sheetId="4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4" l="1"/>
  <c r="H23" i="2"/>
  <c r="G22" i="2"/>
  <c r="G22" i="1"/>
  <c r="G9" i="1"/>
  <c r="P15" i="4"/>
  <c r="P14" i="4"/>
  <c r="P13" i="4"/>
  <c r="K14" i="4"/>
  <c r="K15" i="4"/>
  <c r="K16" i="4"/>
  <c r="K13" i="4"/>
  <c r="I9" i="4"/>
  <c r="F9" i="4"/>
  <c r="F17" i="4"/>
  <c r="H17" i="3"/>
  <c r="H9" i="3"/>
  <c r="H17" i="2"/>
  <c r="H9" i="2"/>
  <c r="G17" i="1"/>
  <c r="J19" i="4" l="1"/>
  <c r="H21" i="4" s="1"/>
  <c r="I22" i="4" s="1"/>
  <c r="E21" i="4"/>
  <c r="F22" i="4" s="1"/>
  <c r="G21" i="3"/>
  <c r="H22" i="3" s="1"/>
</calcChain>
</file>

<file path=xl/sharedStrings.xml><?xml version="1.0" encoding="utf-8"?>
<sst xmlns="http://schemas.openxmlformats.org/spreadsheetml/2006/main" count="79" uniqueCount="59">
  <si>
    <t>В лотерее 100 билетов. Из них 2 выигрышных. Какова вероятность того, что 2 приобретенных билета окажутся выигрышными?</t>
  </si>
  <si>
    <t>m = 2</t>
  </si>
  <si>
    <t>n = 100</t>
  </si>
  <si>
    <t>C(2,100) = 100!/(100-2)! *2!</t>
  </si>
  <si>
    <t>Сочетание(порядок не важен)</t>
  </si>
  <si>
    <t>m =2</t>
  </si>
  <si>
    <t>n = 2</t>
  </si>
  <si>
    <t>C(2,2) = 2!/(2-2)!*2!</t>
  </si>
  <si>
    <t>Р= благопр. исходы / общее число исходов = 1/4950</t>
  </si>
  <si>
    <t>примерно 0,02%</t>
  </si>
  <si>
    <t>В ящике имеется 15 деталей, из которых 9 окрашены. Рабочий случайным образом извлекает 3 детали. Какова вероятность того, что все извлеченные детали окрашены?</t>
  </si>
  <si>
    <t>Сочетание</t>
  </si>
  <si>
    <t>Порядок не важен</t>
  </si>
  <si>
    <t>n = 15</t>
  </si>
  <si>
    <t>m = 3</t>
  </si>
  <si>
    <t>C(3,15) = 15!/(15-3)! *3!</t>
  </si>
  <si>
    <t>m =3</t>
  </si>
  <si>
    <t>C(3,9) = 9!/(9-3)!*3!</t>
  </si>
  <si>
    <t xml:space="preserve">Р= благопр. исходы / общее число исходов </t>
  </si>
  <si>
    <t>Вероятность, что извлеченные детали окрашены (%)</t>
  </si>
  <si>
    <t>n = 9</t>
  </si>
  <si>
    <t>общее кол-во исходов</t>
  </si>
  <si>
    <t>благоприятные исходы</t>
  </si>
  <si>
    <t>На входной двери подъезда установлен кодовый замок, содержащий десять кнопок с цифрами от 0 до 9. Код содержит три цифры, которые нужно нажать одновременно. Какова вероятность того, что человек, не знающий код, откроет дверь с первой попытки?</t>
  </si>
  <si>
    <t>n = 3</t>
  </si>
  <si>
    <t>n =10</t>
  </si>
  <si>
    <t>C(3,10) = 10!/(10-3)! *3!</t>
  </si>
  <si>
    <t>Вероятность открытия двери с 1 попытки (%)</t>
  </si>
  <si>
    <t>Из колоды в 52 карты извлекаются случайным образом 4 карты. a) Найти вероятность того, что все карты – крести. б) Найти вероятность, что среди 4-х карт окажется хотя бы один туз.</t>
  </si>
  <si>
    <t>Вероятность, что все крести</t>
  </si>
  <si>
    <t>m =4</t>
  </si>
  <si>
    <t>n = 52</t>
  </si>
  <si>
    <t>C(4,52) = 52!/(52-4)! *4!</t>
  </si>
  <si>
    <t>m = 4</t>
  </si>
  <si>
    <t>C(3,3) = 3!/(3-3)!*3!</t>
  </si>
  <si>
    <t>n = 13</t>
  </si>
  <si>
    <t>C(4,13) = 13!/(13-4)!*4!</t>
  </si>
  <si>
    <t>карт каждой масти</t>
  </si>
  <si>
    <t>Вероятность, что все извлеченные карты крести (%)</t>
  </si>
  <si>
    <t>Вероятность, что среди 4-х окажется хотя бы 1 туз</t>
  </si>
  <si>
    <t>С(1,4)</t>
  </si>
  <si>
    <t>С(2,4)</t>
  </si>
  <si>
    <t>С(3,4)</t>
  </si>
  <si>
    <t>С(4,4)</t>
  </si>
  <si>
    <t>m</t>
  </si>
  <si>
    <t>n</t>
  </si>
  <si>
    <t>C(m,n)</t>
  </si>
  <si>
    <t>4!/(4-4)!*4!</t>
  </si>
  <si>
    <t>4!/(4-1)!*1!</t>
  </si>
  <si>
    <t>4!/(4-2)!*2!</t>
  </si>
  <si>
    <t>4!/(4-3)!*3!</t>
  </si>
  <si>
    <t>Тузы</t>
  </si>
  <si>
    <t>НЕ тузы</t>
  </si>
  <si>
    <t>С(3,48)</t>
  </si>
  <si>
    <t>С(2,48)</t>
  </si>
  <si>
    <t>С(1,48)</t>
  </si>
  <si>
    <t xml:space="preserve">Общее число благоприятных исходов: </t>
  </si>
  <si>
    <t>С(1,4)*С(3,48) + С(2,4) * С(2,48) + С(3,4)* С(1,48) + С(4,4)</t>
  </si>
  <si>
    <t>Вероятность, что среди 4-х карт окажется хотя бы один туз.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</si>
</sst>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2" borderId="0" xfId="0" applyFont="1" applyFill="1" applyAlignment="1">
      <alignment horizontal="center" wrapText="1"/>
    </xf>
    <xf numFmtId="0" fontId="0" fillId="3" borderId="1" xfId="0" applyFill="1" applyBorder="1"/>
    <xf numFmtId="0" fontId="0" fillId="4" borderId="1" xfId="0" applyFill="1" applyBorder="1"/>
    <xf numFmtId="0" fontId="1" fillId="3" borderId="0" xfId="0" applyFont="1" applyFill="1" applyAlignment="1">
      <alignment horizontal="left"/>
    </xf>
    <xf numFmtId="0" fontId="1" fillId="4" borderId="0" xfId="0" applyFont="1" applyFill="1"/>
    <xf numFmtId="0" fontId="3" fillId="2" borderId="0" xfId="0" applyFont="1" applyFill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7" borderId="0" xfId="0" applyFill="1"/>
    <xf numFmtId="0" fontId="1" fillId="7" borderId="0" xfId="0" applyFont="1" applyFill="1" applyAlignment="1">
      <alignment horizontal="left" wrapText="1"/>
    </xf>
    <xf numFmtId="0" fontId="1" fillId="7" borderId="0" xfId="0" applyFont="1" applyFill="1" applyAlignment="1">
      <alignment horizontal="left" vertical="center" wrapText="1"/>
    </xf>
    <xf numFmtId="0" fontId="0" fillId="4" borderId="0" xfId="0" applyFill="1" applyBorder="1"/>
    <xf numFmtId="0" fontId="1" fillId="4" borderId="6" xfId="0" applyFont="1" applyFill="1" applyBorder="1" applyAlignment="1">
      <alignment horizontal="right"/>
    </xf>
    <xf numFmtId="0" fontId="0" fillId="4" borderId="6" xfId="0" applyFill="1" applyBorder="1"/>
    <xf numFmtId="0" fontId="1" fillId="0" borderId="0" xfId="0" applyFont="1"/>
    <xf numFmtId="0" fontId="1" fillId="4" borderId="1" xfId="0" applyFont="1" applyFill="1" applyBorder="1"/>
    <xf numFmtId="0" fontId="1" fillId="5" borderId="1" xfId="0" applyFont="1" applyFill="1" applyBorder="1"/>
    <xf numFmtId="0" fontId="1" fillId="0" borderId="0" xfId="0" applyFont="1" applyAlignment="1">
      <alignment wrapText="1"/>
    </xf>
    <xf numFmtId="10" fontId="1" fillId="5" borderId="0" xfId="0" applyNumberFormat="1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480060</xdr:colOff>
      <xdr:row>3</xdr:row>
      <xdr:rowOff>99060</xdr:rowOff>
    </xdr:from>
    <xdr:to>
      <xdr:col>5</xdr:col>
      <xdr:colOff>70155</xdr:colOff>
      <xdr:row>8</xdr:row>
      <xdr:rowOff>156089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5F735F6C-C70F-43E8-B28D-E0063E7DE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060" y="861060"/>
          <a:ext cx="2638095" cy="9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594360</xdr:colOff>
      <xdr:row>9</xdr:row>
      <xdr:rowOff>0</xdr:rowOff>
    </xdr:from>
    <xdr:to>
      <xdr:col>4</xdr:col>
      <xdr:colOff>160020</xdr:colOff>
      <xdr:row>11</xdr:row>
      <xdr:rowOff>75524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40781AEB-E123-488D-80AC-FF650FEF4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3960" y="1859280"/>
          <a:ext cx="1394460" cy="44128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5</xdr:row>
      <xdr:rowOff>53340</xdr:rowOff>
    </xdr:from>
    <xdr:to>
      <xdr:col>5</xdr:col>
      <xdr:colOff>161595</xdr:colOff>
      <xdr:row>10</xdr:row>
      <xdr:rowOff>95129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CDA98D28-56E9-42A9-8D61-832EC1018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1478280"/>
          <a:ext cx="2638095" cy="9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563880</xdr:colOff>
      <xdr:row>10</xdr:row>
      <xdr:rowOff>129540</xdr:rowOff>
    </xdr:from>
    <xdr:to>
      <xdr:col>4</xdr:col>
      <xdr:colOff>129540</xdr:colOff>
      <xdr:row>13</xdr:row>
      <xdr:rowOff>22184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285596FC-1C3A-4057-BA49-892CED0ED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73480" y="2468880"/>
          <a:ext cx="1394460" cy="4412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</xdr:row>
      <xdr:rowOff>0</xdr:rowOff>
    </xdr:from>
    <xdr:to>
      <xdr:col>5</xdr:col>
      <xdr:colOff>199695</xdr:colOff>
      <xdr:row>11</xdr:row>
      <xdr:rowOff>41789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B7BF3466-E41F-4CE6-B171-BCC207A5A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775460"/>
          <a:ext cx="2638095" cy="97142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3</xdr:row>
      <xdr:rowOff>1</xdr:rowOff>
    </xdr:from>
    <xdr:to>
      <xdr:col>3</xdr:col>
      <xdr:colOff>592343</xdr:colOff>
      <xdr:row>7</xdr:row>
      <xdr:rowOff>160021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1EEA45E7-A8C2-4993-B571-D4846B8C03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1" y="1280161"/>
          <a:ext cx="2421142" cy="8915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1DC98-A66F-48BD-84B3-B6C6F167EE25}">
  <sheetPr codeName="Лист1"/>
  <dimension ref="A1:L24"/>
  <sheetViews>
    <sheetView workbookViewId="0">
      <selection activeCell="I17" sqref="I17"/>
    </sheetView>
  </sheetViews>
  <sheetFormatPr defaultRowHeight="14.4" x14ac:dyDescent="0.3"/>
  <cols>
    <col min="7" max="7" width="61.33203125" customWidth="1"/>
  </cols>
  <sheetData>
    <row r="1" spans="1:12" ht="31.2" customHeight="1" x14ac:dyDescent="0.3">
      <c r="A1" s="2" t="s">
        <v>0</v>
      </c>
      <c r="B1" s="2"/>
      <c r="C1" s="2"/>
      <c r="D1" s="2"/>
      <c r="E1" s="2"/>
      <c r="F1" s="2"/>
      <c r="G1" s="2"/>
      <c r="H1" s="1"/>
      <c r="I1" s="1"/>
      <c r="J1" s="1"/>
      <c r="K1" s="1"/>
      <c r="L1" s="1"/>
    </row>
    <row r="3" spans="1:12" x14ac:dyDescent="0.3">
      <c r="B3" s="3" t="s">
        <v>4</v>
      </c>
      <c r="C3" s="3"/>
      <c r="D3" s="3"/>
      <c r="E3" s="3"/>
      <c r="F3" s="3"/>
    </row>
    <row r="4" spans="1:12" x14ac:dyDescent="0.3">
      <c r="G4" s="10" t="s">
        <v>21</v>
      </c>
    </row>
    <row r="5" spans="1:12" x14ac:dyDescent="0.3">
      <c r="G5" s="4" t="s">
        <v>1</v>
      </c>
    </row>
    <row r="6" spans="1:12" x14ac:dyDescent="0.3">
      <c r="G6" s="4" t="s">
        <v>2</v>
      </c>
    </row>
    <row r="7" spans="1:12" x14ac:dyDescent="0.3">
      <c r="G7" s="4"/>
    </row>
    <row r="8" spans="1:12" x14ac:dyDescent="0.3">
      <c r="G8" s="4" t="s">
        <v>3</v>
      </c>
    </row>
    <row r="9" spans="1:12" x14ac:dyDescent="0.3">
      <c r="G9" s="4">
        <f>99*100/2</f>
        <v>4950</v>
      </c>
    </row>
    <row r="12" spans="1:12" x14ac:dyDescent="0.3">
      <c r="G12" s="11" t="s">
        <v>22</v>
      </c>
    </row>
    <row r="13" spans="1:12" x14ac:dyDescent="0.3">
      <c r="G13" s="5" t="s">
        <v>5</v>
      </c>
    </row>
    <row r="14" spans="1:12" x14ac:dyDescent="0.3">
      <c r="G14" s="5" t="s">
        <v>6</v>
      </c>
    </row>
    <row r="15" spans="1:12" x14ac:dyDescent="0.3">
      <c r="G15" s="5"/>
    </row>
    <row r="16" spans="1:12" x14ac:dyDescent="0.3">
      <c r="G16" s="5" t="s">
        <v>7</v>
      </c>
    </row>
    <row r="17" spans="7:7" x14ac:dyDescent="0.3">
      <c r="G17" s="5">
        <f>_xludf.Fact(2)/(1*_xludf.Fact(2))</f>
        <v>1</v>
      </c>
    </row>
    <row r="21" spans="7:7" x14ac:dyDescent="0.3">
      <c r="G21" t="s">
        <v>8</v>
      </c>
    </row>
    <row r="22" spans="7:7" x14ac:dyDescent="0.3">
      <c r="G22" s="6">
        <f>G17/G9</f>
        <v>2.0202020202020202E-4</v>
      </c>
    </row>
    <row r="24" spans="7:7" x14ac:dyDescent="0.3">
      <c r="G24" s="27" t="s">
        <v>9</v>
      </c>
    </row>
  </sheetData>
  <mergeCells count="2">
    <mergeCell ref="A1:G1"/>
    <mergeCell ref="B3:F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2AE99-312A-471A-B473-8C611C4B005F}">
  <dimension ref="A1:N23"/>
  <sheetViews>
    <sheetView topLeftCell="A4" workbookViewId="0">
      <selection activeCell="G23" sqref="G23:H23"/>
    </sheetView>
  </sheetViews>
  <sheetFormatPr defaultRowHeight="14.4" x14ac:dyDescent="0.3"/>
  <cols>
    <col min="7" max="7" width="30.44140625" customWidth="1"/>
  </cols>
  <sheetData>
    <row r="1" spans="1:14" ht="54.6" customHeight="1" x14ac:dyDescent="0.35">
      <c r="A1" s="7" t="s">
        <v>10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</row>
    <row r="4" spans="1:14" x14ac:dyDescent="0.3">
      <c r="B4" t="s">
        <v>11</v>
      </c>
      <c r="G4" s="10" t="s">
        <v>21</v>
      </c>
      <c r="H4" s="4"/>
    </row>
    <row r="5" spans="1:14" x14ac:dyDescent="0.3">
      <c r="B5" t="s">
        <v>12</v>
      </c>
      <c r="G5" s="4" t="s">
        <v>14</v>
      </c>
      <c r="H5" s="4">
        <v>3</v>
      </c>
    </row>
    <row r="6" spans="1:14" x14ac:dyDescent="0.3">
      <c r="G6" s="4" t="s">
        <v>13</v>
      </c>
      <c r="H6" s="4">
        <v>15</v>
      </c>
    </row>
    <row r="7" spans="1:14" x14ac:dyDescent="0.3">
      <c r="G7" s="4"/>
      <c r="H7" s="4"/>
    </row>
    <row r="8" spans="1:14" ht="15" thickBot="1" x14ac:dyDescent="0.35">
      <c r="G8" s="4" t="s">
        <v>15</v>
      </c>
      <c r="H8" s="4"/>
    </row>
    <row r="9" spans="1:14" ht="15" thickBot="1" x14ac:dyDescent="0.35">
      <c r="G9" s="4"/>
      <c r="H9" s="8">
        <f>_xludf.Fact(H6)/(_xludf.Fact(H6-H5)*_xludf.Fact(H5))</f>
        <v>455</v>
      </c>
    </row>
    <row r="12" spans="1:14" x14ac:dyDescent="0.3">
      <c r="G12" s="11" t="s">
        <v>22</v>
      </c>
      <c r="H12" s="5"/>
    </row>
    <row r="13" spans="1:14" x14ac:dyDescent="0.3">
      <c r="G13" s="5" t="s">
        <v>16</v>
      </c>
      <c r="H13" s="5">
        <v>3</v>
      </c>
    </row>
    <row r="14" spans="1:14" x14ac:dyDescent="0.3">
      <c r="G14" s="5" t="s">
        <v>20</v>
      </c>
      <c r="H14" s="5">
        <v>9</v>
      </c>
    </row>
    <row r="15" spans="1:14" x14ac:dyDescent="0.3">
      <c r="G15" s="5"/>
      <c r="H15" s="5"/>
    </row>
    <row r="16" spans="1:14" ht="15" thickBot="1" x14ac:dyDescent="0.35">
      <c r="G16" s="5" t="s">
        <v>17</v>
      </c>
      <c r="H16" s="5"/>
    </row>
    <row r="17" spans="7:8" ht="15" thickBot="1" x14ac:dyDescent="0.35">
      <c r="G17" s="5"/>
      <c r="H17" s="9">
        <f>_xludf.Fact(H14)/(_xludf.Fact(H14-H13)*_xludf.Fact(H13))</f>
        <v>84</v>
      </c>
    </row>
    <row r="21" spans="7:8" x14ac:dyDescent="0.3">
      <c r="G21" t="s">
        <v>18</v>
      </c>
    </row>
    <row r="22" spans="7:8" ht="15" thickBot="1" x14ac:dyDescent="0.35">
      <c r="G22" s="6">
        <f>H17/H9</f>
        <v>0.18461538461538463</v>
      </c>
      <c r="H22" s="6"/>
    </row>
    <row r="23" spans="7:8" ht="29.4" thickBot="1" x14ac:dyDescent="0.35">
      <c r="G23" s="26" t="s">
        <v>19</v>
      </c>
      <c r="H23" s="25">
        <f>G22*100</f>
        <v>18.461538461538463</v>
      </c>
    </row>
  </sheetData>
  <mergeCells count="1">
    <mergeCell ref="A1:N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ECAAB-C903-4CF1-A66C-FDBA14BB2565}">
  <dimension ref="A1:K22"/>
  <sheetViews>
    <sheetView workbookViewId="0">
      <selection activeCell="J19" sqref="J19"/>
    </sheetView>
  </sheetViews>
  <sheetFormatPr defaultRowHeight="14.4" x14ac:dyDescent="0.3"/>
  <cols>
    <col min="7" max="7" width="23" customWidth="1"/>
    <col min="8" max="8" width="17.77734375" customWidth="1"/>
  </cols>
  <sheetData>
    <row r="1" spans="1:11" ht="67.8" customHeight="1" x14ac:dyDescent="0.3">
      <c r="A1" s="12" t="s">
        <v>23</v>
      </c>
      <c r="B1" s="12"/>
      <c r="C1" s="12"/>
      <c r="D1" s="12"/>
      <c r="E1" s="12"/>
      <c r="F1" s="12"/>
      <c r="G1" s="12"/>
      <c r="H1" s="12"/>
      <c r="I1" s="12"/>
      <c r="J1" s="12"/>
      <c r="K1" s="12"/>
    </row>
    <row r="4" spans="1:11" x14ac:dyDescent="0.3">
      <c r="G4" s="10" t="s">
        <v>21</v>
      </c>
      <c r="H4" s="4"/>
    </row>
    <row r="5" spans="1:11" x14ac:dyDescent="0.3">
      <c r="G5" s="4" t="s">
        <v>14</v>
      </c>
      <c r="H5" s="4">
        <v>3</v>
      </c>
    </row>
    <row r="6" spans="1:11" x14ac:dyDescent="0.3">
      <c r="G6" s="4" t="s">
        <v>25</v>
      </c>
      <c r="H6" s="4">
        <v>10</v>
      </c>
    </row>
    <row r="7" spans="1:11" x14ac:dyDescent="0.3">
      <c r="G7" s="4"/>
      <c r="H7" s="4"/>
    </row>
    <row r="8" spans="1:11" ht="15" thickBot="1" x14ac:dyDescent="0.35">
      <c r="G8" s="4" t="s">
        <v>26</v>
      </c>
      <c r="H8" s="4"/>
    </row>
    <row r="9" spans="1:11" ht="15" thickBot="1" x14ac:dyDescent="0.35">
      <c r="G9" s="4"/>
      <c r="H9" s="8">
        <f>_xludf.Fact(H6)/(_xludf.Fact(H6-H5)*_xludf.Fact(H5))</f>
        <v>120</v>
      </c>
    </row>
    <row r="12" spans="1:11" x14ac:dyDescent="0.3">
      <c r="G12" s="11" t="s">
        <v>22</v>
      </c>
      <c r="H12" s="5"/>
    </row>
    <row r="13" spans="1:11" x14ac:dyDescent="0.3">
      <c r="G13" s="5" t="s">
        <v>16</v>
      </c>
      <c r="H13" s="5">
        <v>3</v>
      </c>
    </row>
    <row r="14" spans="1:11" x14ac:dyDescent="0.3">
      <c r="G14" s="5" t="s">
        <v>24</v>
      </c>
      <c r="H14" s="5">
        <v>3</v>
      </c>
    </row>
    <row r="15" spans="1:11" x14ac:dyDescent="0.3">
      <c r="G15" s="5"/>
      <c r="H15" s="5"/>
    </row>
    <row r="16" spans="1:11" ht="15" thickBot="1" x14ac:dyDescent="0.35">
      <c r="G16" s="5" t="s">
        <v>34</v>
      </c>
      <c r="H16" s="5"/>
    </row>
    <row r="17" spans="7:8" ht="15" thickBot="1" x14ac:dyDescent="0.35">
      <c r="G17" s="5"/>
      <c r="H17" s="9">
        <f>_xludf.Fact(H14)/(_xludf.Fact(H14-H13)*_xludf.Fact(H13))</f>
        <v>1</v>
      </c>
    </row>
    <row r="20" spans="7:8" x14ac:dyDescent="0.3">
      <c r="G20" t="s">
        <v>18</v>
      </c>
    </row>
    <row r="21" spans="7:8" ht="15" thickBot="1" x14ac:dyDescent="0.35">
      <c r="G21" s="6">
        <f>H17/H9</f>
        <v>8.3333333333333332E-3</v>
      </c>
      <c r="H21" s="6"/>
    </row>
    <row r="22" spans="7:8" ht="33" customHeight="1" thickBot="1" x14ac:dyDescent="0.35">
      <c r="G22" s="26" t="s">
        <v>27</v>
      </c>
      <c r="H22" s="25">
        <f>G21*100</f>
        <v>0.83333333333333337</v>
      </c>
    </row>
  </sheetData>
  <mergeCells count="1">
    <mergeCell ref="A1:K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7CDC4-1623-4E06-823A-E900251356BC}">
  <dimension ref="A1:P22"/>
  <sheetViews>
    <sheetView tabSelected="1" zoomScaleNormal="100" workbookViewId="0">
      <selection activeCell="L22" sqref="L22"/>
    </sheetView>
  </sheetViews>
  <sheetFormatPr defaultRowHeight="14.4" x14ac:dyDescent="0.3"/>
  <cols>
    <col min="5" max="5" width="25.5546875" customWidth="1"/>
    <col min="6" max="6" width="10" customWidth="1"/>
    <col min="8" max="8" width="20.77734375" customWidth="1"/>
    <col min="9" max="9" width="13.109375" customWidth="1"/>
    <col min="10" max="10" width="11" customWidth="1"/>
    <col min="11" max="11" width="8.33203125" customWidth="1"/>
    <col min="12" max="12" width="13.6640625" customWidth="1"/>
    <col min="13" max="13" width="21.44140625" customWidth="1"/>
  </cols>
  <sheetData>
    <row r="1" spans="1:16" ht="43.2" customHeight="1" x14ac:dyDescent="0.35">
      <c r="A1" s="7" t="s">
        <v>28</v>
      </c>
      <c r="B1" s="7"/>
      <c r="C1" s="7"/>
      <c r="D1" s="7"/>
      <c r="E1" s="7"/>
      <c r="F1" s="7"/>
      <c r="G1" s="7"/>
      <c r="H1" s="7"/>
      <c r="I1" s="7"/>
      <c r="J1" s="7"/>
    </row>
    <row r="3" spans="1:16" ht="43.2" x14ac:dyDescent="0.3">
      <c r="E3" s="19" t="s">
        <v>29</v>
      </c>
      <c r="F3" s="17"/>
      <c r="H3" s="18" t="s">
        <v>39</v>
      </c>
      <c r="I3" s="17"/>
      <c r="J3" s="17"/>
      <c r="K3" s="17"/>
    </row>
    <row r="4" spans="1:16" x14ac:dyDescent="0.3">
      <c r="E4" s="10" t="s">
        <v>21</v>
      </c>
      <c r="F4" s="4"/>
      <c r="H4" s="10" t="s">
        <v>21</v>
      </c>
      <c r="I4" s="4"/>
    </row>
    <row r="5" spans="1:16" x14ac:dyDescent="0.3">
      <c r="E5" s="4" t="s">
        <v>33</v>
      </c>
      <c r="F5" s="4">
        <v>4</v>
      </c>
      <c r="H5" s="4" t="s">
        <v>33</v>
      </c>
      <c r="I5" s="4">
        <v>4</v>
      </c>
    </row>
    <row r="6" spans="1:16" x14ac:dyDescent="0.3">
      <c r="E6" s="4" t="s">
        <v>31</v>
      </c>
      <c r="F6" s="4">
        <v>52</v>
      </c>
      <c r="H6" s="4" t="s">
        <v>31</v>
      </c>
      <c r="I6" s="4">
        <v>52</v>
      </c>
    </row>
    <row r="7" spans="1:16" x14ac:dyDescent="0.3">
      <c r="E7" s="4"/>
      <c r="F7" s="4"/>
      <c r="H7" s="4"/>
      <c r="I7" s="4"/>
    </row>
    <row r="8" spans="1:16" ht="15" thickBot="1" x14ac:dyDescent="0.35">
      <c r="E8" s="4" t="s">
        <v>32</v>
      </c>
      <c r="F8" s="4"/>
      <c r="H8" s="4" t="s">
        <v>32</v>
      </c>
      <c r="I8" s="4"/>
    </row>
    <row r="9" spans="1:16" ht="15" thickBot="1" x14ac:dyDescent="0.35">
      <c r="E9" s="4"/>
      <c r="F9" s="8">
        <f>49*50*51*52/_xludf.Fact(F5)</f>
        <v>270725</v>
      </c>
      <c r="H9" s="4"/>
      <c r="I9" s="8">
        <f>49*50*51*52/_xludf.Fact(I5)</f>
        <v>270725</v>
      </c>
    </row>
    <row r="11" spans="1:16" x14ac:dyDescent="0.3">
      <c r="H11" s="23" t="s">
        <v>51</v>
      </c>
      <c r="M11" s="23" t="s">
        <v>52</v>
      </c>
    </row>
    <row r="12" spans="1:16" ht="15" thickBot="1" x14ac:dyDescent="0.35">
      <c r="E12" s="11" t="s">
        <v>22</v>
      </c>
      <c r="F12" s="5"/>
      <c r="H12" s="11" t="s">
        <v>22</v>
      </c>
      <c r="I12" s="21" t="s">
        <v>44</v>
      </c>
      <c r="J12" s="21" t="s">
        <v>45</v>
      </c>
      <c r="K12" s="22" t="s">
        <v>46</v>
      </c>
      <c r="M12" s="11" t="s">
        <v>22</v>
      </c>
      <c r="N12" s="21" t="s">
        <v>44</v>
      </c>
      <c r="O12" s="21" t="s">
        <v>45</v>
      </c>
      <c r="P12" s="22" t="s">
        <v>46</v>
      </c>
    </row>
    <row r="13" spans="1:16" x14ac:dyDescent="0.3">
      <c r="C13" s="13" t="s">
        <v>37</v>
      </c>
      <c r="D13" s="14"/>
      <c r="E13" s="5" t="s">
        <v>30</v>
      </c>
      <c r="F13" s="5">
        <v>4</v>
      </c>
      <c r="H13" s="5" t="s">
        <v>40</v>
      </c>
      <c r="I13" s="22">
        <v>1</v>
      </c>
      <c r="J13" s="22">
        <v>4</v>
      </c>
      <c r="K13" s="22">
        <f>_xludf.Fact(J13)/(_xludf.Fact(J13-I13)*_xludf.Fact(I13))</f>
        <v>4</v>
      </c>
      <c r="L13" t="s">
        <v>48</v>
      </c>
      <c r="M13" s="5" t="s">
        <v>53</v>
      </c>
      <c r="N13" s="22">
        <v>3</v>
      </c>
      <c r="O13" s="22">
        <v>48</v>
      </c>
      <c r="P13" s="22">
        <f>46*47*48/_xludf.Fact(N13)</f>
        <v>17296</v>
      </c>
    </row>
    <row r="14" spans="1:16" ht="15" thickBot="1" x14ac:dyDescent="0.35">
      <c r="C14" s="15">
        <f>52/4</f>
        <v>13</v>
      </c>
      <c r="D14" s="16"/>
      <c r="E14" s="5" t="s">
        <v>35</v>
      </c>
      <c r="F14" s="5">
        <v>13</v>
      </c>
      <c r="H14" s="5" t="s">
        <v>41</v>
      </c>
      <c r="I14" s="22">
        <v>2</v>
      </c>
      <c r="J14" s="22">
        <v>4</v>
      </c>
      <c r="K14" s="22">
        <f>_xludf.Fact(J14)/(_xludf.Fact(J14-I14)*_xludf.Fact(I14))</f>
        <v>6</v>
      </c>
      <c r="L14" t="s">
        <v>49</v>
      </c>
      <c r="M14" s="5" t="s">
        <v>54</v>
      </c>
      <c r="N14" s="22">
        <v>2</v>
      </c>
      <c r="O14" s="22">
        <v>48</v>
      </c>
      <c r="P14" s="22">
        <f>47*48/_xludf.Fact(N14)</f>
        <v>1128</v>
      </c>
    </row>
    <row r="15" spans="1:16" x14ac:dyDescent="0.3">
      <c r="E15" s="5"/>
      <c r="F15" s="5"/>
      <c r="H15" s="5" t="s">
        <v>42</v>
      </c>
      <c r="I15" s="22">
        <v>3</v>
      </c>
      <c r="J15" s="22">
        <v>4</v>
      </c>
      <c r="K15" s="22">
        <f>_xludf.Fact(J15)/(_xludf.Fact(J15-I15)*_xludf.Fact(I15))</f>
        <v>4</v>
      </c>
      <c r="L15" t="s">
        <v>50</v>
      </c>
      <c r="M15" s="5" t="s">
        <v>55</v>
      </c>
      <c r="N15" s="22">
        <v>1</v>
      </c>
      <c r="O15" s="22">
        <v>48</v>
      </c>
      <c r="P15" s="22">
        <f>48/_xludf.Fact(N15)</f>
        <v>48</v>
      </c>
    </row>
    <row r="16" spans="1:16" ht="15" thickBot="1" x14ac:dyDescent="0.35">
      <c r="E16" s="5" t="s">
        <v>36</v>
      </c>
      <c r="F16" s="5"/>
      <c r="H16" s="5" t="s">
        <v>43</v>
      </c>
      <c r="I16" s="22">
        <v>4</v>
      </c>
      <c r="J16" s="22">
        <v>4</v>
      </c>
      <c r="K16" s="22">
        <f>_xludf.Fact(J16)/(_xludf.Fact(J16-I16)*_xludf.Fact(I16))</f>
        <v>1</v>
      </c>
      <c r="L16" t="s">
        <v>47</v>
      </c>
      <c r="M16" s="20"/>
      <c r="N16" s="20"/>
      <c r="O16" s="20"/>
      <c r="P16" s="20"/>
    </row>
    <row r="17" spans="5:16" ht="15" thickBot="1" x14ac:dyDescent="0.35">
      <c r="E17" s="5"/>
      <c r="F17" s="9">
        <f>_xludf.Fact(F14)/(_xludf.Fact(F14-F13)*_xludf.Fact(F13))</f>
        <v>715</v>
      </c>
      <c r="H17" s="5"/>
      <c r="I17" s="20"/>
      <c r="J17" s="5"/>
      <c r="K17" s="5"/>
      <c r="M17" s="20"/>
      <c r="N17" s="20"/>
      <c r="O17" s="20"/>
      <c r="P17" s="20"/>
    </row>
    <row r="18" spans="5:16" ht="15" thickBot="1" x14ac:dyDescent="0.35"/>
    <row r="19" spans="5:16" ht="24" customHeight="1" thickBot="1" x14ac:dyDescent="0.35">
      <c r="H19" s="20" t="s">
        <v>56</v>
      </c>
      <c r="I19" s="5"/>
      <c r="J19" s="24">
        <f>(K13*P13)+(K14*P14)+(K15*P15)+K16</f>
        <v>76145</v>
      </c>
      <c r="K19" t="s">
        <v>57</v>
      </c>
    </row>
    <row r="20" spans="5:16" ht="34.799999999999997" customHeight="1" x14ac:dyDescent="0.3">
      <c r="E20" t="s">
        <v>18</v>
      </c>
      <c r="H20" t="s">
        <v>18</v>
      </c>
    </row>
    <row r="21" spans="5:16" ht="15" thickBot="1" x14ac:dyDescent="0.35">
      <c r="E21" s="6">
        <f>F17/F9</f>
        <v>2.6410564225690276E-3</v>
      </c>
      <c r="F21" s="6"/>
      <c r="H21" s="6">
        <f>J19/I9</f>
        <v>0.28126327454058547</v>
      </c>
      <c r="I21" s="6"/>
    </row>
    <row r="22" spans="5:16" ht="61.8" customHeight="1" thickBot="1" x14ac:dyDescent="0.35">
      <c r="E22" s="26" t="s">
        <v>38</v>
      </c>
      <c r="F22" s="25">
        <f>E21*100</f>
        <v>0.26410564225690275</v>
      </c>
      <c r="H22" s="26" t="s">
        <v>58</v>
      </c>
      <c r="I22" s="25">
        <f>H21*100</f>
        <v>28.126327454058547</v>
      </c>
    </row>
  </sheetData>
  <mergeCells count="3">
    <mergeCell ref="A1:J1"/>
    <mergeCell ref="C13:D13"/>
    <mergeCell ref="C14:D1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4</vt:lpstr>
      <vt:lpstr>3</vt:lpstr>
      <vt:lpstr>2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Вероника Акулова</dc:creator>
  <cp:lastModifiedBy>Вероника Акулова</cp:lastModifiedBy>
  <dcterms:created xsi:type="dcterms:W3CDTF">2023-03-21T17:44:14Z</dcterms:created>
  <dcterms:modified xsi:type="dcterms:W3CDTF">2023-03-26T15:27:59Z</dcterms:modified>
</cp:coreProperties>
</file>