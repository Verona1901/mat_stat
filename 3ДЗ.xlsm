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Verona\GeekBrains\7. Теория вероятностей и математическая статистика\3\"/>
    </mc:Choice>
  </mc:AlternateContent>
  <xr:revisionPtr revIDLastSave="0" documentId="13_ncr:1_{AE0162FE-564A-42A0-8ADA-E8E3FABDC4F1}" xr6:coauthVersionLast="47" xr6:coauthVersionMax="47" xr10:uidLastSave="{00000000-0000-0000-0000-000000000000}"/>
  <bookViews>
    <workbookView xWindow="-108" yWindow="-108" windowWidth="23256" windowHeight="12456" xr2:uid="{7A3C373F-BCA3-4BFE-ADEA-977BFB33533D}"/>
  </bookViews>
  <sheets>
    <sheet name="1" sheetId="9" r:id="rId1"/>
    <sheet name="2" sheetId="10" r:id="rId2"/>
    <sheet name="3" sheetId="11" r:id="rId3"/>
    <sheet name="4" sheetId="12" r:id="rId4"/>
    <sheet name="5" sheetId="13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" i="13" l="1"/>
  <c r="F9" i="13"/>
  <c r="F8" i="13"/>
  <c r="D5" i="13"/>
  <c r="C5" i="13"/>
  <c r="B5" i="13"/>
  <c r="C7" i="13"/>
  <c r="G13" i="12"/>
  <c r="G12" i="12"/>
  <c r="G11" i="12"/>
  <c r="H9" i="12"/>
  <c r="I9" i="11"/>
  <c r="I8" i="11"/>
  <c r="I7" i="11"/>
  <c r="H4" i="11"/>
  <c r="B25" i="9"/>
  <c r="B24" i="9"/>
  <c r="B26" i="9" s="1"/>
  <c r="M18" i="10"/>
  <c r="Z18" i="10"/>
  <c r="P18" i="10"/>
  <c r="F10" i="10"/>
  <c r="AB18" i="10"/>
  <c r="H18" i="10"/>
  <c r="U18" i="10"/>
  <c r="K18" i="10"/>
  <c r="C18" i="10"/>
  <c r="W18" i="10"/>
  <c r="Z10" i="10"/>
  <c r="P10" i="10"/>
  <c r="C10" i="10"/>
  <c r="R18" i="10"/>
  <c r="U10" i="10"/>
  <c r="K10" i="10"/>
  <c r="F18" i="10"/>
  <c r="T22" i="10" l="1"/>
  <c r="Y22" i="10"/>
  <c r="J22" i="10"/>
  <c r="O22" i="10"/>
  <c r="E22" i="10"/>
  <c r="B22" i="10"/>
  <c r="C5" i="9"/>
  <c r="D5" i="9" s="1"/>
  <c r="C9" i="9"/>
  <c r="D9" i="9" s="1"/>
  <c r="C13" i="9"/>
  <c r="D13" i="9" s="1"/>
  <c r="C17" i="9"/>
  <c r="D17" i="9" s="1"/>
  <c r="C21" i="9"/>
  <c r="D21" i="9" s="1"/>
  <c r="C6" i="9"/>
  <c r="D6" i="9" s="1"/>
  <c r="C10" i="9"/>
  <c r="D10" i="9" s="1"/>
  <c r="C14" i="9"/>
  <c r="D14" i="9" s="1"/>
  <c r="C18" i="9"/>
  <c r="D18" i="9" s="1"/>
  <c r="C22" i="9"/>
  <c r="D22" i="9" s="1"/>
  <c r="C4" i="9"/>
  <c r="D4" i="9" s="1"/>
  <c r="C7" i="9"/>
  <c r="D7" i="9" s="1"/>
  <c r="C11" i="9"/>
  <c r="D11" i="9" s="1"/>
  <c r="C15" i="9"/>
  <c r="D15" i="9" s="1"/>
  <c r="C19" i="9"/>
  <c r="D19" i="9" s="1"/>
  <c r="C23" i="9"/>
  <c r="D23" i="9" s="1"/>
  <c r="C8" i="9"/>
  <c r="D8" i="9" s="1"/>
  <c r="C12" i="9"/>
  <c r="D12" i="9" s="1"/>
  <c r="C16" i="9"/>
  <c r="D16" i="9" s="1"/>
  <c r="C20" i="9"/>
  <c r="D20" i="9" s="1"/>
  <c r="D25" i="10" l="1"/>
  <c r="L25" i="10"/>
  <c r="V25" i="10"/>
  <c r="D24" i="9"/>
  <c r="K27" i="10" l="1"/>
  <c r="L27" i="10" s="1"/>
  <c r="B29" i="9"/>
  <c r="B28" i="9"/>
  <c r="B27" i="9" s="1"/>
</calcChain>
</file>

<file path=xl/sharedStrings.xml><?xml version="1.0" encoding="utf-8"?>
<sst xmlns="http://schemas.openxmlformats.org/spreadsheetml/2006/main" count="132" uniqueCount="70">
  <si>
    <t xml:space="preserve">Р= благопр. исходы / общее число исходов </t>
  </si>
  <si>
    <t>общее кол-во исходов</t>
  </si>
  <si>
    <t>благоприятные исходы</t>
  </si>
  <si>
    <t xml:space="preserve">n = </t>
  </si>
  <si>
    <t xml:space="preserve">m = </t>
  </si>
  <si>
    <t>n =</t>
  </si>
  <si>
    <t>1 ящик</t>
  </si>
  <si>
    <t>2 ящик</t>
  </si>
  <si>
    <t>C(2,7) = 7!/(7-2)!*2!</t>
  </si>
  <si>
    <t>1. Даны значения зарплат из выборки выпускников: 100, 80, 75, 77, 89, 33, 45, 25, 65, 17, 30, 24, 57, 55, 70, 75, 65, 84, 90, 150. Посчитать (желательно без использования статистических методов наподобие std, var, mean) среднее арифметическое, среднее квадратичное отклонение, смещенную и несмещенную оценки дисперсий для данной выборки.</t>
  </si>
  <si>
    <t xml:space="preserve">сумма </t>
  </si>
  <si>
    <t>среднее квадратичное отклонение</t>
  </si>
  <si>
    <t>х</t>
  </si>
  <si>
    <t>¯̅x</t>
  </si>
  <si>
    <t>среднее арифметическое (¯̅x)</t>
  </si>
  <si>
    <t>смещенная дисперсия</t>
  </si>
  <si>
    <t>несмещенная дисперсия</t>
  </si>
  <si>
    <t>¯̅x ^2</t>
  </si>
  <si>
    <t>количество(n)</t>
  </si>
  <si>
    <t>В первом ящике находится 8 мячей, из которых 5 - белые. Во втором ящике - 12 мячей, из которых 5 белых. Из первого ящика вытаскивают случайным образом два мяча, из второго - 4. Какова вероятность того, что 3 мяча белые?</t>
  </si>
  <si>
    <t>m =</t>
  </si>
  <si>
    <t>C(2,8) = 8!/(8-2)! *2!</t>
  </si>
  <si>
    <t>C(4,12) = 12!/(12-4)! *4!</t>
  </si>
  <si>
    <t>C(2,5) = 5!/(5-2)!*2!</t>
  </si>
  <si>
    <t>C(1,5) = 5!/(5-1)!*1!</t>
  </si>
  <si>
    <t>C(1,5) = 5!/(1-2)!*1!</t>
  </si>
  <si>
    <t>C(0,5) = 5!/(5-0)!*0!</t>
  </si>
  <si>
    <t>C(3,5) = 5!/(5-3)!*3!</t>
  </si>
  <si>
    <t>%</t>
  </si>
  <si>
    <t>На соревновании по биатлону один из трех спортсменов стреляет и попадает в мишень. Вероятность попадания для первого спортсмена равна 0.9, для второго — 0.8, для третьего — 0.6. Найти вероятность того, что выстрел произведен: a). первым спортсменом б). вторым спортсменом в). третьим спортсменом.</t>
  </si>
  <si>
    <t>Вероятность, что выстрел произведен:</t>
  </si>
  <si>
    <t>а)</t>
  </si>
  <si>
    <t>1 спортсменом</t>
  </si>
  <si>
    <t>б)</t>
  </si>
  <si>
    <t>2 спортсменом</t>
  </si>
  <si>
    <t>3 спортсменом</t>
  </si>
  <si>
    <t>в)</t>
  </si>
  <si>
    <t>Общая вероятность попадания (А)= (1/3*0,9) +(1/3*0,8) +(1/3*0,6) =</t>
  </si>
  <si>
    <t>Формула Байеса</t>
  </si>
  <si>
    <t>(0,9*1/3) /А=</t>
  </si>
  <si>
    <t>(0,8*1/3) /А=</t>
  </si>
  <si>
    <t>(0,6*1/3) /А=</t>
  </si>
  <si>
    <t>В университет на факультеты A и B поступило равное количество студентов, а на факультет C студентов поступило столько же, сколько на A и B вместе. Вероятность того, что студент факультета A сдаст первую сессию, равна 0.8. Для студента факультета B эта вероятность равна 0.7, а для студента факультета C - 0.9. Студент сдал первую сессию. Какова вероятность, что он учится: a). на факультете A б). на факультете B в). на факультете C?</t>
  </si>
  <si>
    <t>А</t>
  </si>
  <si>
    <t>В</t>
  </si>
  <si>
    <t>С=А+В</t>
  </si>
  <si>
    <t>вероятность сдачи экзамена</t>
  </si>
  <si>
    <t>кол-во студентов</t>
  </si>
  <si>
    <t>А(общая вероятность сдачи экзамена)</t>
  </si>
  <si>
    <t>1/4*08 + 1/4*0,7 + 1/2*0,9 =</t>
  </si>
  <si>
    <t>а) Вероятность, что студент учится на факультете А =</t>
  </si>
  <si>
    <t>б) Вероятность, что студент учится на факультете В =</t>
  </si>
  <si>
    <t>а) Вероятность, что студент учится на факультете С =</t>
  </si>
  <si>
    <t>0,8*1/4/А =</t>
  </si>
  <si>
    <t>0,7*1/4/А =</t>
  </si>
  <si>
    <t>0,9*1/2/А =</t>
  </si>
  <si>
    <t>Устройство состоит из трех деталей. Для первой детали вероятность выйти из строя в первый месяц равна 0.1, для второй - 0.2, для третьей - 0.25. Какова вероятность того, что в первый месяц выйдут из строя: а). все детали б). только две детали в). хотя бы одна деталь г). от одной до двух деталей?</t>
  </si>
  <si>
    <t xml:space="preserve">детали </t>
  </si>
  <si>
    <t>вероятность выйти из строя в первый месяц (p)</t>
  </si>
  <si>
    <t>Вероятность работы q=1-p</t>
  </si>
  <si>
    <t>б) только две детали = р1*p2*q3 + q1*p2*p3+p1*q2*p3</t>
  </si>
  <si>
    <t>а) все детали =p1*p2*p3</t>
  </si>
  <si>
    <t>в) хотя бы одна деталь = 1- (q1*q2*q3)</t>
  </si>
  <si>
    <t>г) от одной до двух деталей = q1*q2*p3+q1*p2*q3+p1*q2*q3 + результат б)</t>
  </si>
  <si>
    <t>C(3,7) = 7!/(7-3)!*3!</t>
  </si>
  <si>
    <t>C(1,3) = 3!/(1-3)!*1!</t>
  </si>
  <si>
    <t>C(1,3) = 3!/(3-1)!*1!</t>
  </si>
  <si>
    <t>C(1,7) = 7!/(7-7)!*7!</t>
  </si>
  <si>
    <t>Вероятность, что 3 мяча белые=</t>
  </si>
  <si>
    <t>Вероятность, что 3 мяча белые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</si>
</sst>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2C2D30"/>
      <name val="Roboto"/>
    </font>
    <font>
      <b/>
      <sz val="12"/>
      <color theme="1"/>
      <name val="Calibri"/>
      <family val="2"/>
      <charset val="204"/>
    </font>
    <font>
      <sz val="8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1E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3" borderId="1" xfId="0" applyFill="1" applyBorder="1"/>
    <xf numFmtId="0" fontId="1" fillId="3" borderId="0" xfId="0" applyFont="1" applyFill="1" applyAlignment="1">
      <alignment horizontal="left"/>
    </xf>
    <xf numFmtId="0" fontId="1" fillId="4" borderId="0" xfId="0" applyFont="1" applyFill="1"/>
    <xf numFmtId="0" fontId="1" fillId="0" borderId="0" xfId="0" applyFont="1"/>
    <xf numFmtId="0" fontId="3" fillId="0" borderId="0" xfId="0" applyFont="1"/>
    <xf numFmtId="0" fontId="0" fillId="6" borderId="0" xfId="0" applyFill="1"/>
    <xf numFmtId="0" fontId="1" fillId="0" borderId="0" xfId="0" applyFont="1" applyAlignment="1">
      <alignment horizontal="center"/>
    </xf>
    <xf numFmtId="0" fontId="2" fillId="7" borderId="0" xfId="0" applyFont="1" applyFill="1"/>
    <xf numFmtId="0" fontId="3" fillId="0" borderId="0" xfId="0" applyFont="1" applyAlignment="1">
      <alignment horizontal="right"/>
    </xf>
    <xf numFmtId="0" fontId="1" fillId="6" borderId="0" xfId="0" applyFont="1" applyFill="1" applyAlignment="1">
      <alignment horizontal="center" wrapText="1"/>
    </xf>
    <xf numFmtId="0" fontId="1" fillId="0" borderId="0" xfId="0" applyFont="1" applyAlignment="1">
      <alignment horizontal="right"/>
    </xf>
    <xf numFmtId="0" fontId="0" fillId="0" borderId="0" xfId="0" applyNumberFormat="1"/>
    <xf numFmtId="0" fontId="3" fillId="3" borderId="0" xfId="0" applyFont="1" applyFill="1" applyAlignment="1">
      <alignment horizontal="right"/>
    </xf>
    <xf numFmtId="0" fontId="3" fillId="8" borderId="0" xfId="0" applyFont="1" applyFill="1" applyAlignment="1">
      <alignment horizontal="right"/>
    </xf>
    <xf numFmtId="0" fontId="0" fillId="0" borderId="2" xfId="0" applyBorder="1"/>
    <xf numFmtId="2" fontId="0" fillId="0" borderId="2" xfId="0" applyNumberFormat="1" applyBorder="1"/>
    <xf numFmtId="0" fontId="2" fillId="3" borderId="2" xfId="0" applyFont="1" applyFill="1" applyBorder="1" applyAlignment="1">
      <alignment horizontal="right"/>
    </xf>
    <xf numFmtId="0" fontId="2" fillId="8" borderId="2" xfId="0" applyFont="1" applyFill="1" applyBorder="1"/>
    <xf numFmtId="0" fontId="2" fillId="9" borderId="2" xfId="0" applyFont="1" applyFill="1" applyBorder="1"/>
    <xf numFmtId="0" fontId="0" fillId="0" borderId="0" xfId="0" applyBorder="1"/>
    <xf numFmtId="2" fontId="0" fillId="0" borderId="4" xfId="0" applyNumberFormat="1" applyBorder="1"/>
    <xf numFmtId="0" fontId="3" fillId="9" borderId="0" xfId="0" applyFont="1" applyFill="1" applyAlignment="1">
      <alignment horizontal="right"/>
    </xf>
    <xf numFmtId="0" fontId="3" fillId="6" borderId="0" xfId="0" applyFont="1" applyFill="1" applyAlignment="1">
      <alignment horizontal="right"/>
    </xf>
    <xf numFmtId="0" fontId="2" fillId="6" borderId="2" xfId="0" applyFont="1" applyFill="1" applyBorder="1"/>
    <xf numFmtId="0" fontId="3" fillId="10" borderId="0" xfId="0" applyFont="1" applyFill="1" applyAlignment="1">
      <alignment horizontal="right"/>
    </xf>
    <xf numFmtId="0" fontId="2" fillId="10" borderId="2" xfId="0" applyFont="1" applyFill="1" applyBorder="1"/>
    <xf numFmtId="0" fontId="3" fillId="5" borderId="2" xfId="0" applyFont="1" applyFill="1" applyBorder="1"/>
    <xf numFmtId="0" fontId="5" fillId="5" borderId="2" xfId="0" applyFont="1" applyFill="1" applyBorder="1"/>
    <xf numFmtId="0" fontId="3" fillId="5" borderId="0" xfId="0" applyFont="1" applyFill="1" applyAlignment="1">
      <alignment horizontal="right"/>
    </xf>
    <xf numFmtId="0" fontId="2" fillId="5" borderId="2" xfId="0" applyFont="1" applyFill="1" applyBorder="1" applyAlignment="1">
      <alignment horizontal="right"/>
    </xf>
    <xf numFmtId="0" fontId="3" fillId="5" borderId="3" xfId="0" applyFont="1" applyFill="1" applyBorder="1"/>
    <xf numFmtId="0" fontId="0" fillId="0" borderId="0" xfId="0" applyAlignment="1"/>
    <xf numFmtId="0" fontId="0" fillId="3" borderId="0" xfId="0" applyFill="1" applyAlignment="1">
      <alignment horizontal="right"/>
    </xf>
    <xf numFmtId="0" fontId="0" fillId="3" borderId="0" xfId="0" applyFill="1" applyAlignment="1">
      <alignment horizontal="left"/>
    </xf>
    <xf numFmtId="0" fontId="0" fillId="4" borderId="0" xfId="0" applyFill="1" applyAlignment="1">
      <alignment horizontal="right"/>
    </xf>
    <xf numFmtId="0" fontId="0" fillId="4" borderId="0" xfId="0" applyFill="1" applyAlignment="1">
      <alignment horizontal="left"/>
    </xf>
    <xf numFmtId="0" fontId="0" fillId="4" borderId="1" xfId="0" applyNumberFormat="1" applyFill="1" applyBorder="1"/>
    <xf numFmtId="0" fontId="0" fillId="4" borderId="0" xfId="0" applyNumberFormat="1" applyFill="1"/>
    <xf numFmtId="0" fontId="1" fillId="2" borderId="0" xfId="0" applyFont="1" applyFill="1"/>
    <xf numFmtId="0" fontId="1" fillId="5" borderId="0" xfId="0" applyFont="1" applyFill="1"/>
    <xf numFmtId="0" fontId="1" fillId="5" borderId="0" xfId="0" applyFont="1" applyFill="1" applyAlignment="1">
      <alignment horizontal="left"/>
    </xf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 wrapText="1"/>
    </xf>
    <xf numFmtId="0" fontId="2" fillId="7" borderId="0" xfId="0" applyFont="1" applyFill="1" applyAlignment="1">
      <alignment horizontal="left"/>
    </xf>
    <xf numFmtId="0" fontId="2" fillId="3" borderId="0" xfId="0" applyFont="1" applyFill="1"/>
    <xf numFmtId="0" fontId="2" fillId="2" borderId="5" xfId="0" applyFont="1" applyFill="1" applyBorder="1" applyAlignment="1"/>
    <xf numFmtId="0" fontId="2" fillId="2" borderId="6" xfId="0" applyFont="1" applyFill="1" applyBorder="1"/>
    <xf numFmtId="0" fontId="4" fillId="8" borderId="0" xfId="0" applyFont="1" applyFill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3" fillId="2" borderId="0" xfId="0" applyFont="1" applyFill="1" applyAlignment="1">
      <alignment horizontal="center" wrapText="1"/>
    </xf>
    <xf numFmtId="0" fontId="3" fillId="8" borderId="0" xfId="0" applyFont="1" applyFill="1" applyAlignment="1">
      <alignment horizontal="center" wrapText="1"/>
    </xf>
    <xf numFmtId="0" fontId="1" fillId="11" borderId="0" xfId="0" applyFont="1" applyFill="1" applyAlignment="1">
      <alignment horizontal="center" wrapText="1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C1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182880</xdr:colOff>
      <xdr:row>13</xdr:row>
      <xdr:rowOff>69683</xdr:rowOff>
    </xdr:from>
    <xdr:to>
      <xdr:col>0</xdr:col>
      <xdr:colOff>2430780</xdr:colOff>
      <xdr:row>20</xdr:row>
      <xdr:rowOff>83820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FFC0EC5D-3EB6-4C34-BDC2-B60014144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3064343"/>
          <a:ext cx="2247900" cy="129429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236220</xdr:colOff>
      <xdr:row>0</xdr:row>
      <xdr:rowOff>0</xdr:rowOff>
    </xdr:from>
    <xdr:to>
      <xdr:col>16</xdr:col>
      <xdr:colOff>472440</xdr:colOff>
      <xdr:row>1</xdr:row>
      <xdr:rowOff>114300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444C706C-B319-453E-8DC8-9F257D9B7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1360" y="0"/>
          <a:ext cx="4869180" cy="90678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13</xdr:row>
      <xdr:rowOff>137160</xdr:rowOff>
    </xdr:from>
    <xdr:to>
      <xdr:col>6</xdr:col>
      <xdr:colOff>434340</xdr:colOff>
      <xdr:row>18</xdr:row>
      <xdr:rowOff>15241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1D2D2579-11E2-44DC-9BC1-5D33F76696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1" y="3124200"/>
          <a:ext cx="3482339" cy="79248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601980</xdr:colOff>
      <xdr:row>3</xdr:row>
      <xdr:rowOff>259080</xdr:rowOff>
    </xdr:from>
    <xdr:to>
      <xdr:col>12</xdr:col>
      <xdr:colOff>60959</xdr:colOff>
      <xdr:row>5</xdr:row>
      <xdr:rowOff>137161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36B32788-A2E5-4A1F-B526-5A8A2E74F5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50080" y="1630680"/>
          <a:ext cx="3482339" cy="79248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E419B-E5C4-4143-BDCD-3AD4E776C3D4}">
  <dimension ref="A1:H29"/>
  <sheetViews>
    <sheetView tabSelected="1" workbookViewId="0">
      <selection sqref="A1:H1"/>
    </sheetView>
  </sheetViews>
  <sheetFormatPr defaultRowHeight="14.4" x14ac:dyDescent="0.3"/>
  <cols>
    <col min="1" max="1" width="38" customWidth="1"/>
    <col min="5" max="5" width="25.21875" customWidth="1"/>
    <col min="7" max="7" width="17.77734375" customWidth="1"/>
    <col min="8" max="8" width="3.88671875" customWidth="1"/>
  </cols>
  <sheetData>
    <row r="1" spans="1:8" ht="61.8" customHeight="1" x14ac:dyDescent="0.3">
      <c r="A1" s="51" t="s">
        <v>9</v>
      </c>
      <c r="B1" s="51"/>
      <c r="C1" s="51"/>
      <c r="D1" s="51"/>
      <c r="E1" s="51"/>
      <c r="F1" s="51"/>
      <c r="G1" s="51"/>
      <c r="H1" s="51"/>
    </row>
    <row r="3" spans="1:8" ht="15.6" x14ac:dyDescent="0.3">
      <c r="B3" s="30" t="s">
        <v>12</v>
      </c>
      <c r="C3" s="31" t="s">
        <v>13</v>
      </c>
      <c r="D3" s="30" t="s">
        <v>17</v>
      </c>
    </row>
    <row r="4" spans="1:8" x14ac:dyDescent="0.3">
      <c r="B4" s="18">
        <v>100</v>
      </c>
      <c r="C4" s="19">
        <f>B4-B$26</f>
        <v>34.700000000000003</v>
      </c>
      <c r="D4" s="18">
        <f>POWER(C4,2)</f>
        <v>1204.0900000000001</v>
      </c>
    </row>
    <row r="5" spans="1:8" x14ac:dyDescent="0.3">
      <c r="B5" s="18">
        <v>80</v>
      </c>
      <c r="C5" s="19">
        <f t="shared" ref="C5:C23" si="0">B5-B$26</f>
        <v>14.700000000000003</v>
      </c>
      <c r="D5" s="18">
        <f t="shared" ref="D5:D23" si="1">POWER(C5,2)</f>
        <v>216.09000000000009</v>
      </c>
    </row>
    <row r="6" spans="1:8" x14ac:dyDescent="0.3">
      <c r="B6" s="18">
        <v>75</v>
      </c>
      <c r="C6" s="19">
        <f t="shared" si="0"/>
        <v>9.7000000000000028</v>
      </c>
      <c r="D6" s="18">
        <f t="shared" si="1"/>
        <v>94.09000000000006</v>
      </c>
    </row>
    <row r="7" spans="1:8" x14ac:dyDescent="0.3">
      <c r="B7" s="18">
        <v>77</v>
      </c>
      <c r="C7" s="19">
        <f t="shared" si="0"/>
        <v>11.700000000000003</v>
      </c>
      <c r="D7" s="18">
        <f t="shared" si="1"/>
        <v>136.89000000000007</v>
      </c>
    </row>
    <row r="8" spans="1:8" x14ac:dyDescent="0.3">
      <c r="B8" s="18">
        <v>89</v>
      </c>
      <c r="C8" s="19">
        <f t="shared" si="0"/>
        <v>23.700000000000003</v>
      </c>
      <c r="D8" s="18">
        <f t="shared" si="1"/>
        <v>561.69000000000017</v>
      </c>
    </row>
    <row r="9" spans="1:8" x14ac:dyDescent="0.3">
      <c r="B9" s="18">
        <v>33</v>
      </c>
      <c r="C9" s="19">
        <f t="shared" si="0"/>
        <v>-32.299999999999997</v>
      </c>
      <c r="D9" s="18">
        <f t="shared" si="1"/>
        <v>1043.2899999999997</v>
      </c>
    </row>
    <row r="10" spans="1:8" x14ac:dyDescent="0.3">
      <c r="B10" s="18">
        <v>45</v>
      </c>
      <c r="C10" s="19">
        <f t="shared" si="0"/>
        <v>-20.299999999999997</v>
      </c>
      <c r="D10" s="18">
        <f t="shared" si="1"/>
        <v>412.08999999999986</v>
      </c>
    </row>
    <row r="11" spans="1:8" x14ac:dyDescent="0.3">
      <c r="B11" s="18">
        <v>25</v>
      </c>
      <c r="C11" s="19">
        <f t="shared" si="0"/>
        <v>-40.299999999999997</v>
      </c>
      <c r="D11" s="18">
        <f t="shared" si="1"/>
        <v>1624.0899999999997</v>
      </c>
    </row>
    <row r="12" spans="1:8" x14ac:dyDescent="0.3">
      <c r="B12" s="18">
        <v>65</v>
      </c>
      <c r="C12" s="19">
        <f t="shared" si="0"/>
        <v>-0.29999999999999716</v>
      </c>
      <c r="D12" s="18">
        <f t="shared" si="1"/>
        <v>8.999999999999829E-2</v>
      </c>
    </row>
    <row r="13" spans="1:8" x14ac:dyDescent="0.3">
      <c r="B13" s="18">
        <v>17</v>
      </c>
      <c r="C13" s="19">
        <f t="shared" si="0"/>
        <v>-48.3</v>
      </c>
      <c r="D13" s="18">
        <f t="shared" si="1"/>
        <v>2332.89</v>
      </c>
    </row>
    <row r="14" spans="1:8" x14ac:dyDescent="0.3">
      <c r="B14" s="18">
        <v>30</v>
      </c>
      <c r="C14" s="19">
        <f t="shared" si="0"/>
        <v>-35.299999999999997</v>
      </c>
      <c r="D14" s="18">
        <f t="shared" si="1"/>
        <v>1246.0899999999997</v>
      </c>
    </row>
    <row r="15" spans="1:8" x14ac:dyDescent="0.3">
      <c r="B15" s="18">
        <v>24</v>
      </c>
      <c r="C15" s="19">
        <f t="shared" si="0"/>
        <v>-41.3</v>
      </c>
      <c r="D15" s="18">
        <f t="shared" si="1"/>
        <v>1705.6899999999998</v>
      </c>
    </row>
    <row r="16" spans="1:8" x14ac:dyDescent="0.3">
      <c r="B16" s="18">
        <v>57</v>
      </c>
      <c r="C16" s="19">
        <f t="shared" si="0"/>
        <v>-8.2999999999999972</v>
      </c>
      <c r="D16" s="18">
        <f t="shared" si="1"/>
        <v>68.889999999999958</v>
      </c>
    </row>
    <row r="17" spans="1:4" x14ac:dyDescent="0.3">
      <c r="B17" s="18">
        <v>55</v>
      </c>
      <c r="C17" s="19">
        <f t="shared" si="0"/>
        <v>-10.299999999999997</v>
      </c>
      <c r="D17" s="18">
        <f t="shared" si="1"/>
        <v>106.08999999999995</v>
      </c>
    </row>
    <row r="18" spans="1:4" x14ac:dyDescent="0.3">
      <c r="B18" s="18">
        <v>70</v>
      </c>
      <c r="C18" s="19">
        <f t="shared" si="0"/>
        <v>4.7000000000000028</v>
      </c>
      <c r="D18" s="18">
        <f t="shared" si="1"/>
        <v>22.090000000000028</v>
      </c>
    </row>
    <row r="19" spans="1:4" x14ac:dyDescent="0.3">
      <c r="B19" s="18">
        <v>75</v>
      </c>
      <c r="C19" s="19">
        <f t="shared" si="0"/>
        <v>9.7000000000000028</v>
      </c>
      <c r="D19" s="18">
        <f t="shared" si="1"/>
        <v>94.09000000000006</v>
      </c>
    </row>
    <row r="20" spans="1:4" x14ac:dyDescent="0.3">
      <c r="B20" s="18">
        <v>65</v>
      </c>
      <c r="C20" s="19">
        <f t="shared" si="0"/>
        <v>-0.29999999999999716</v>
      </c>
      <c r="D20" s="18">
        <f t="shared" si="1"/>
        <v>8.999999999999829E-2</v>
      </c>
    </row>
    <row r="21" spans="1:4" x14ac:dyDescent="0.3">
      <c r="B21" s="18">
        <v>84</v>
      </c>
      <c r="C21" s="19">
        <f t="shared" si="0"/>
        <v>18.700000000000003</v>
      </c>
      <c r="D21" s="18">
        <f t="shared" si="1"/>
        <v>349.69000000000011</v>
      </c>
    </row>
    <row r="22" spans="1:4" x14ac:dyDescent="0.3">
      <c r="B22" s="18">
        <v>90</v>
      </c>
      <c r="C22" s="19">
        <f t="shared" si="0"/>
        <v>24.700000000000003</v>
      </c>
      <c r="D22" s="18">
        <f t="shared" si="1"/>
        <v>610.09000000000015</v>
      </c>
    </row>
    <row r="23" spans="1:4" x14ac:dyDescent="0.3">
      <c r="B23" s="18">
        <v>150</v>
      </c>
      <c r="C23" s="19">
        <f t="shared" si="0"/>
        <v>84.7</v>
      </c>
      <c r="D23" s="18">
        <f t="shared" si="1"/>
        <v>7174.09</v>
      </c>
    </row>
    <row r="24" spans="1:4" ht="18" x14ac:dyDescent="0.35">
      <c r="A24" s="32" t="s">
        <v>10</v>
      </c>
      <c r="B24" s="33">
        <f>SUM(B4:B23)</f>
        <v>1306</v>
      </c>
      <c r="C24" s="24"/>
      <c r="D24" s="34">
        <f>SUM(D4:D23)</f>
        <v>19002.2</v>
      </c>
    </row>
    <row r="25" spans="1:4" ht="18" x14ac:dyDescent="0.35">
      <c r="A25" s="16" t="s">
        <v>18</v>
      </c>
      <c r="B25" s="20">
        <f>COUNT(B4:B23)</f>
        <v>20</v>
      </c>
      <c r="C25" s="23"/>
    </row>
    <row r="26" spans="1:4" ht="18" x14ac:dyDescent="0.35">
      <c r="A26" s="17" t="s">
        <v>14</v>
      </c>
      <c r="B26" s="21">
        <f>B24/B25</f>
        <v>65.3</v>
      </c>
      <c r="C26" s="23"/>
    </row>
    <row r="27" spans="1:4" ht="18" x14ac:dyDescent="0.35">
      <c r="A27" s="25" t="s">
        <v>11</v>
      </c>
      <c r="B27" s="22">
        <f>SQRT(B28)</f>
        <v>30.823854398825596</v>
      </c>
      <c r="C27" s="23"/>
    </row>
    <row r="28" spans="1:4" ht="18" x14ac:dyDescent="0.35">
      <c r="A28" s="26" t="s">
        <v>15</v>
      </c>
      <c r="B28" s="27">
        <f>D24/B25</f>
        <v>950.11</v>
      </c>
    </row>
    <row r="29" spans="1:4" ht="18" x14ac:dyDescent="0.35">
      <c r="A29" s="28" t="s">
        <v>16</v>
      </c>
      <c r="B29" s="29">
        <f>D24/(B25-1)</f>
        <v>1000.1157894736842</v>
      </c>
    </row>
  </sheetData>
  <mergeCells count="1">
    <mergeCell ref="A1:H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BD0A9-9CA2-4FAE-AC45-E7AFB187BE2E}">
  <dimension ref="A1:AB27"/>
  <sheetViews>
    <sheetView topLeftCell="A7" zoomScale="96" zoomScaleNormal="96" workbookViewId="0">
      <selection activeCell="D24" sqref="D24"/>
    </sheetView>
  </sheetViews>
  <sheetFormatPr defaultRowHeight="14.4" x14ac:dyDescent="0.3"/>
  <cols>
    <col min="3" max="3" width="11.5546875" customWidth="1"/>
    <col min="4" max="4" width="11.44140625" customWidth="1"/>
    <col min="6" max="6" width="12" customWidth="1"/>
    <col min="7" max="7" width="15.6640625" customWidth="1"/>
    <col min="8" max="8" width="5.88671875" customWidth="1"/>
    <col min="9" max="9" width="9.6640625" customWidth="1"/>
    <col min="11" max="14" width="11.77734375" customWidth="1"/>
    <col min="16" max="16" width="11.5546875" customWidth="1"/>
    <col min="17" max="17" width="11.33203125" customWidth="1"/>
    <col min="18" max="18" width="10" customWidth="1"/>
    <col min="21" max="21" width="11.77734375" customWidth="1"/>
    <col min="22" max="22" width="12.33203125" customWidth="1"/>
    <col min="23" max="23" width="10.6640625" customWidth="1"/>
    <col min="24" max="24" width="11.5546875" customWidth="1"/>
    <col min="26" max="26" width="11.6640625" customWidth="1"/>
    <col min="28" max="28" width="10.6640625" customWidth="1"/>
  </cols>
  <sheetData>
    <row r="1" spans="1:28" ht="62.4" customHeight="1" x14ac:dyDescent="0.3">
      <c r="A1" s="53" t="s">
        <v>19</v>
      </c>
      <c r="B1" s="53"/>
      <c r="C1" s="53"/>
      <c r="D1" s="53"/>
      <c r="E1" s="53"/>
      <c r="F1" s="53"/>
      <c r="G1" s="53"/>
      <c r="H1" s="53"/>
      <c r="I1" s="53"/>
    </row>
    <row r="3" spans="1:28" x14ac:dyDescent="0.3">
      <c r="B3" s="9">
        <v>1</v>
      </c>
      <c r="J3" s="9">
        <v>2</v>
      </c>
      <c r="T3" s="9">
        <v>3</v>
      </c>
    </row>
    <row r="4" spans="1:28" x14ac:dyDescent="0.3">
      <c r="C4" s="10" t="s">
        <v>6</v>
      </c>
      <c r="F4" s="10" t="s">
        <v>7</v>
      </c>
      <c r="K4" s="10" t="s">
        <v>6</v>
      </c>
      <c r="P4" s="10" t="s">
        <v>7</v>
      </c>
      <c r="U4" s="10" t="s">
        <v>6</v>
      </c>
      <c r="Z4" s="10" t="s">
        <v>7</v>
      </c>
    </row>
    <row r="5" spans="1:28" x14ac:dyDescent="0.3">
      <c r="B5" s="5" t="s">
        <v>1</v>
      </c>
      <c r="C5" s="1"/>
      <c r="E5" s="5" t="s">
        <v>1</v>
      </c>
      <c r="F5" s="1"/>
      <c r="J5" s="5" t="s">
        <v>1</v>
      </c>
      <c r="K5" s="1"/>
      <c r="O5" s="5" t="s">
        <v>1</v>
      </c>
      <c r="P5" s="1"/>
      <c r="T5" s="5" t="s">
        <v>1</v>
      </c>
      <c r="U5" s="1"/>
      <c r="Y5" s="5" t="s">
        <v>1</v>
      </c>
      <c r="Z5" s="1"/>
    </row>
    <row r="6" spans="1:28" x14ac:dyDescent="0.3">
      <c r="B6" s="36" t="s">
        <v>4</v>
      </c>
      <c r="C6" s="37">
        <v>2</v>
      </c>
      <c r="E6" s="36" t="s">
        <v>4</v>
      </c>
      <c r="F6" s="37">
        <v>4</v>
      </c>
      <c r="J6" s="36" t="s">
        <v>4</v>
      </c>
      <c r="K6" s="37">
        <v>2</v>
      </c>
      <c r="O6" s="36" t="s">
        <v>4</v>
      </c>
      <c r="P6" s="37">
        <v>4</v>
      </c>
      <c r="T6" s="36" t="s">
        <v>4</v>
      </c>
      <c r="U6" s="37">
        <v>2</v>
      </c>
      <c r="Y6" s="36" t="s">
        <v>4</v>
      </c>
      <c r="Z6" s="37">
        <v>4</v>
      </c>
    </row>
    <row r="7" spans="1:28" x14ac:dyDescent="0.3">
      <c r="B7" s="36" t="s">
        <v>5</v>
      </c>
      <c r="C7" s="37">
        <v>8</v>
      </c>
      <c r="E7" s="36" t="s">
        <v>3</v>
      </c>
      <c r="F7" s="37">
        <v>12</v>
      </c>
      <c r="J7" s="36" t="s">
        <v>5</v>
      </c>
      <c r="K7" s="37">
        <v>8</v>
      </c>
      <c r="O7" s="36" t="s">
        <v>3</v>
      </c>
      <c r="P7" s="37">
        <v>12</v>
      </c>
      <c r="T7" s="36" t="s">
        <v>5</v>
      </c>
      <c r="U7" s="37">
        <v>8</v>
      </c>
      <c r="Y7" s="36" t="s">
        <v>3</v>
      </c>
      <c r="Z7" s="37">
        <v>12</v>
      </c>
    </row>
    <row r="8" spans="1:28" x14ac:dyDescent="0.3">
      <c r="B8" s="1"/>
      <c r="C8" s="1"/>
      <c r="E8" s="1"/>
      <c r="F8" s="1"/>
      <c r="J8" s="1"/>
      <c r="K8" s="1"/>
      <c r="O8" s="1"/>
      <c r="P8" s="1"/>
      <c r="T8" s="1"/>
      <c r="U8" s="1"/>
      <c r="Y8" s="1"/>
      <c r="Z8" s="1"/>
    </row>
    <row r="9" spans="1:28" ht="15" thickBot="1" x14ac:dyDescent="0.35">
      <c r="B9" s="1" t="s">
        <v>21</v>
      </c>
      <c r="C9" s="1"/>
      <c r="E9" s="1" t="s">
        <v>22</v>
      </c>
      <c r="F9" s="1"/>
      <c r="J9" s="1" t="s">
        <v>21</v>
      </c>
      <c r="K9" s="1"/>
      <c r="O9" s="1" t="s">
        <v>22</v>
      </c>
      <c r="P9" s="1"/>
      <c r="T9" s="1" t="s">
        <v>21</v>
      </c>
      <c r="U9" s="1"/>
      <c r="Y9" s="1" t="s">
        <v>22</v>
      </c>
      <c r="Z9" s="1"/>
    </row>
    <row r="10" spans="1:28" ht="15" thickBot="1" x14ac:dyDescent="0.35">
      <c r="B10" s="1"/>
      <c r="C10" s="4">
        <f>_xludf.Fact(C7)/(_xludf.Fact(C7-C6)*_xludf.Fact(C6))</f>
        <v>28</v>
      </c>
      <c r="E10" s="1"/>
      <c r="F10" s="4">
        <f>_xludf.Fact(F7)/(_xludf.Fact(F7-F6)*_xludf.Fact(F6))</f>
        <v>495</v>
      </c>
      <c r="J10" s="1"/>
      <c r="K10" s="4">
        <f>_xludf.Fact(K7)/(_xludf.Fact(K7-K6)*_xludf.Fact(K6))</f>
        <v>28</v>
      </c>
      <c r="O10" s="1"/>
      <c r="P10" s="4">
        <f>_xludf.Fact(P7)/(_xludf.Fact(P7-P6)*_xludf.Fact(P6))</f>
        <v>495</v>
      </c>
      <c r="T10" s="1"/>
      <c r="U10" s="4">
        <f>_xludf.Fact(U7)/(_xludf.Fact(U7-U6)*_xludf.Fact(U6))</f>
        <v>28</v>
      </c>
      <c r="Y10" s="1"/>
      <c r="Z10" s="4">
        <f>_xludf.Fact(Z7)/(_xludf.Fact(Z7-Z6)*_xludf.Fact(Z6))</f>
        <v>495</v>
      </c>
    </row>
    <row r="13" spans="1:28" x14ac:dyDescent="0.3">
      <c r="B13" s="6" t="s">
        <v>2</v>
      </c>
      <c r="C13" s="2"/>
      <c r="E13" s="6" t="s">
        <v>2</v>
      </c>
      <c r="F13" s="2"/>
      <c r="G13" s="6" t="s">
        <v>2</v>
      </c>
      <c r="H13" s="2"/>
      <c r="J13" s="6" t="s">
        <v>2</v>
      </c>
      <c r="K13" s="2"/>
      <c r="L13" s="6" t="s">
        <v>2</v>
      </c>
      <c r="M13" s="2"/>
      <c r="O13" s="6" t="s">
        <v>2</v>
      </c>
      <c r="P13" s="2"/>
      <c r="Q13" s="6" t="s">
        <v>2</v>
      </c>
      <c r="R13" s="2"/>
      <c r="T13" s="6" t="s">
        <v>2</v>
      </c>
      <c r="U13" s="2"/>
      <c r="V13" s="6" t="s">
        <v>2</v>
      </c>
      <c r="W13" s="2"/>
      <c r="Y13" s="6" t="s">
        <v>2</v>
      </c>
      <c r="Z13" s="2"/>
      <c r="AA13" s="6" t="s">
        <v>2</v>
      </c>
      <c r="AB13" s="2"/>
    </row>
    <row r="14" spans="1:28" x14ac:dyDescent="0.3">
      <c r="B14" s="38" t="s">
        <v>20</v>
      </c>
      <c r="C14" s="39">
        <v>2</v>
      </c>
      <c r="E14" s="38" t="s">
        <v>20</v>
      </c>
      <c r="F14" s="39">
        <v>1</v>
      </c>
      <c r="G14" s="38" t="s">
        <v>20</v>
      </c>
      <c r="H14" s="39">
        <v>3</v>
      </c>
      <c r="J14" s="38" t="s">
        <v>20</v>
      </c>
      <c r="K14" s="39">
        <v>1</v>
      </c>
      <c r="L14" s="38" t="s">
        <v>20</v>
      </c>
      <c r="M14" s="39">
        <v>1</v>
      </c>
      <c r="O14" s="38" t="s">
        <v>20</v>
      </c>
      <c r="P14" s="39">
        <v>2</v>
      </c>
      <c r="Q14" s="38" t="s">
        <v>20</v>
      </c>
      <c r="R14" s="39">
        <v>2</v>
      </c>
      <c r="T14" s="38" t="s">
        <v>20</v>
      </c>
      <c r="U14" s="39">
        <v>0</v>
      </c>
      <c r="V14" s="38" t="s">
        <v>20</v>
      </c>
      <c r="W14" s="39">
        <v>1</v>
      </c>
      <c r="Y14" s="38" t="s">
        <v>20</v>
      </c>
      <c r="Z14" s="39">
        <v>3</v>
      </c>
      <c r="AA14" s="38" t="s">
        <v>20</v>
      </c>
      <c r="AB14" s="39">
        <v>1</v>
      </c>
    </row>
    <row r="15" spans="1:28" x14ac:dyDescent="0.3">
      <c r="B15" s="38" t="s">
        <v>3</v>
      </c>
      <c r="C15" s="39">
        <v>5</v>
      </c>
      <c r="E15" s="38" t="s">
        <v>3</v>
      </c>
      <c r="F15" s="39">
        <v>5</v>
      </c>
      <c r="G15" s="38" t="s">
        <v>3</v>
      </c>
      <c r="H15" s="39">
        <v>7</v>
      </c>
      <c r="J15" s="38" t="s">
        <v>3</v>
      </c>
      <c r="K15" s="39">
        <v>5</v>
      </c>
      <c r="L15" s="38" t="s">
        <v>3</v>
      </c>
      <c r="M15" s="39">
        <v>3</v>
      </c>
      <c r="O15" s="38" t="s">
        <v>3</v>
      </c>
      <c r="P15" s="39">
        <v>5</v>
      </c>
      <c r="Q15" s="38" t="s">
        <v>3</v>
      </c>
      <c r="R15" s="39">
        <v>7</v>
      </c>
      <c r="T15" s="38" t="s">
        <v>3</v>
      </c>
      <c r="U15" s="39">
        <v>5</v>
      </c>
      <c r="V15" s="38" t="s">
        <v>3</v>
      </c>
      <c r="W15" s="39">
        <v>3</v>
      </c>
      <c r="Y15" s="38" t="s">
        <v>3</v>
      </c>
      <c r="Z15" s="39">
        <v>5</v>
      </c>
      <c r="AA15" s="38" t="s">
        <v>3</v>
      </c>
      <c r="AB15" s="39">
        <v>7</v>
      </c>
    </row>
    <row r="16" spans="1:28" x14ac:dyDescent="0.3">
      <c r="B16" s="2"/>
      <c r="C16" s="2"/>
      <c r="E16" s="2"/>
      <c r="F16" s="2"/>
      <c r="G16" s="2"/>
      <c r="H16" s="2"/>
      <c r="J16" s="2"/>
      <c r="K16" s="2"/>
      <c r="L16" s="2"/>
      <c r="M16" s="2"/>
      <c r="O16" s="2"/>
      <c r="P16" s="2"/>
      <c r="Q16" s="2"/>
      <c r="R16" s="2"/>
      <c r="T16" s="2"/>
      <c r="U16" s="2"/>
      <c r="V16" s="2"/>
      <c r="W16" s="2"/>
      <c r="Y16" s="2"/>
      <c r="Z16" s="2"/>
      <c r="AA16" s="2"/>
      <c r="AB16" s="2"/>
    </row>
    <row r="17" spans="2:28" ht="15" thickBot="1" x14ac:dyDescent="0.35">
      <c r="B17" s="2" t="s">
        <v>23</v>
      </c>
      <c r="C17" s="2"/>
      <c r="E17" s="2" t="s">
        <v>24</v>
      </c>
      <c r="F17" s="2"/>
      <c r="G17" s="2" t="s">
        <v>64</v>
      </c>
      <c r="H17" s="2"/>
      <c r="J17" s="2" t="s">
        <v>25</v>
      </c>
      <c r="K17" s="2"/>
      <c r="L17" s="2" t="s">
        <v>65</v>
      </c>
      <c r="M17" s="2"/>
      <c r="O17" s="2" t="s">
        <v>23</v>
      </c>
      <c r="P17" s="2"/>
      <c r="Q17" s="2" t="s">
        <v>8</v>
      </c>
      <c r="R17" s="2"/>
      <c r="T17" s="2" t="s">
        <v>26</v>
      </c>
      <c r="U17" s="2"/>
      <c r="V17" s="2" t="s">
        <v>66</v>
      </c>
      <c r="W17" s="2"/>
      <c r="Y17" s="2" t="s">
        <v>27</v>
      </c>
      <c r="Z17" s="2"/>
      <c r="AA17" s="2" t="s">
        <v>67</v>
      </c>
      <c r="AB17" s="2"/>
    </row>
    <row r="18" spans="2:28" ht="15" thickBot="1" x14ac:dyDescent="0.35">
      <c r="B18" s="2"/>
      <c r="C18" s="40">
        <f>_xludf.Fact(C15)/(_xludf.Fact(C15-C14)*_xludf.Fact(C14))</f>
        <v>10</v>
      </c>
      <c r="D18" s="15"/>
      <c r="E18" s="41"/>
      <c r="F18" s="40">
        <f>_xludf.Fact(F15)/(_xludf.Fact(F15-F14)*_xludf.Fact(F14))</f>
        <v>5</v>
      </c>
      <c r="G18" s="41"/>
      <c r="H18" s="40">
        <f>_xludf.Fact(H15)/(_xludf.Fact(H15-H14)*_xludf.Fact(H14))</f>
        <v>35</v>
      </c>
      <c r="I18" s="15"/>
      <c r="J18" s="41"/>
      <c r="K18" s="40">
        <f>_xludf.Fact(K15)/(_xludf.Fact(K15-K14)*_xludf.Fact(K14))</f>
        <v>5</v>
      </c>
      <c r="L18" s="41"/>
      <c r="M18" s="40">
        <f>_xludf.Fact(M15)/(_xludf.Fact(M15-M14)*_xludf.Fact(M14))</f>
        <v>3</v>
      </c>
      <c r="N18" s="15"/>
      <c r="O18" s="41"/>
      <c r="P18" s="40">
        <f>_xludf.Fact(P15)/(_xludf.Fact(P15-P14)*_xludf.Fact(P14))</f>
        <v>10</v>
      </c>
      <c r="Q18" s="41"/>
      <c r="R18" s="40">
        <f>_xludf.Fact(R15)/(_xludf.Fact(R15-R14)*_xludf.Fact(R14))</f>
        <v>21</v>
      </c>
      <c r="S18" s="15"/>
      <c r="T18" s="41"/>
      <c r="U18" s="40">
        <f>_xludf.Fact(U15)/(_xludf.Fact(U15-U14)*_xludf.Fact(U14))</f>
        <v>1</v>
      </c>
      <c r="V18" s="41"/>
      <c r="W18" s="40">
        <f>_xludf.Fact(W15)/(_xludf.Fact(W15-W14)*_xludf.Fact(W14))</f>
        <v>3</v>
      </c>
      <c r="X18" s="15"/>
      <c r="Y18" s="41"/>
      <c r="Z18" s="40">
        <f>_xludf.Fact(Z15)/(_xludf.Fact(Z15-Z14)*_xludf.Fact(Z14))</f>
        <v>10</v>
      </c>
      <c r="AA18" s="41"/>
      <c r="AB18" s="40">
        <f>_xludf.Fact(AB15)/(_xludf.Fact(AB15-AB14)*_xludf.Fact(AB14))</f>
        <v>7</v>
      </c>
    </row>
    <row r="21" spans="2:28" ht="34.799999999999997" customHeight="1" x14ac:dyDescent="0.3">
      <c r="B21" s="52" t="s">
        <v>0</v>
      </c>
      <c r="C21" s="52"/>
      <c r="D21" s="35"/>
      <c r="E21" s="52" t="s">
        <v>0</v>
      </c>
      <c r="F21" s="52"/>
      <c r="G21" s="35"/>
      <c r="H21" s="35"/>
      <c r="I21" s="35"/>
      <c r="J21" s="52" t="s">
        <v>0</v>
      </c>
      <c r="K21" s="52"/>
      <c r="L21" s="35"/>
      <c r="M21" s="35"/>
      <c r="N21" s="35"/>
      <c r="O21" s="52" t="s">
        <v>0</v>
      </c>
      <c r="P21" s="52"/>
      <c r="T21" s="52" t="s">
        <v>0</v>
      </c>
      <c r="U21" s="52"/>
      <c r="V21" s="35"/>
      <c r="W21" s="35"/>
      <c r="X21" s="35"/>
      <c r="Y21" s="52" t="s">
        <v>0</v>
      </c>
      <c r="Z21" s="52"/>
    </row>
    <row r="22" spans="2:28" x14ac:dyDescent="0.3">
      <c r="B22" s="3">
        <f>C18/C10</f>
        <v>0.35714285714285715</v>
      </c>
      <c r="C22" s="3"/>
      <c r="E22" s="3">
        <f>F18*H18/F10</f>
        <v>0.35353535353535354</v>
      </c>
      <c r="F22" s="3"/>
      <c r="J22" s="3">
        <f>K18*M18/K10</f>
        <v>0.5357142857142857</v>
      </c>
      <c r="K22" s="3"/>
      <c r="O22" s="3">
        <f>P18*R18/P10</f>
        <v>0.42424242424242425</v>
      </c>
      <c r="P22" s="3"/>
      <c r="T22" s="3">
        <f>U18*W18/U10</f>
        <v>0.10714285714285714</v>
      </c>
      <c r="U22" s="3"/>
      <c r="Y22" s="3">
        <f>Z18*AB18/Z10</f>
        <v>0.14141414141414141</v>
      </c>
      <c r="Z22" s="3"/>
    </row>
    <row r="24" spans="2:28" ht="42.6" customHeight="1" x14ac:dyDescent="0.3">
      <c r="D24" s="13" t="s">
        <v>69</v>
      </c>
      <c r="L24" s="13" t="s">
        <v>69</v>
      </c>
      <c r="M24" s="55"/>
      <c r="N24" s="55"/>
      <c r="V24" s="13" t="s">
        <v>69</v>
      </c>
      <c r="W24" s="55"/>
      <c r="X24" s="55"/>
    </row>
    <row r="25" spans="2:28" x14ac:dyDescent="0.3">
      <c r="D25" s="7">
        <f>B22*E22</f>
        <v>0.12626262626262627</v>
      </c>
      <c r="L25" s="7">
        <f>J22*O22</f>
        <v>0.22727272727272727</v>
      </c>
      <c r="M25" s="7"/>
      <c r="N25" s="7"/>
      <c r="V25" s="7">
        <f>T22*Y22</f>
        <v>1.515151515151515E-2</v>
      </c>
      <c r="W25" s="7"/>
      <c r="X25" s="7"/>
    </row>
    <row r="26" spans="2:28" ht="15" thickBot="1" x14ac:dyDescent="0.35">
      <c r="C26" s="14"/>
      <c r="D26" s="7"/>
    </row>
    <row r="27" spans="2:28" ht="27" customHeight="1" thickBot="1" x14ac:dyDescent="0.4">
      <c r="F27" s="42" t="s">
        <v>68</v>
      </c>
      <c r="G27" s="42"/>
      <c r="H27" s="42"/>
      <c r="I27" s="42"/>
      <c r="J27" s="42"/>
      <c r="K27">
        <f>D25+L25+V25</f>
        <v>0.36868686868686867</v>
      </c>
      <c r="L27" s="49">
        <f>K27*100</f>
        <v>36.868686868686865</v>
      </c>
      <c r="M27" s="50" t="s">
        <v>28</v>
      </c>
    </row>
  </sheetData>
  <mergeCells count="7">
    <mergeCell ref="O21:P21"/>
    <mergeCell ref="T21:U21"/>
    <mergeCell ref="Y21:Z21"/>
    <mergeCell ref="A1:I1"/>
    <mergeCell ref="B21:C21"/>
    <mergeCell ref="E21:F21"/>
    <mergeCell ref="J21:K2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18F06-AADC-4C30-B452-E3D58D1BF98C}">
  <dimension ref="A1:K13"/>
  <sheetViews>
    <sheetView workbookViewId="0">
      <selection activeCell="D22" sqref="D22"/>
    </sheetView>
  </sheetViews>
  <sheetFormatPr defaultRowHeight="14.4" x14ac:dyDescent="0.3"/>
  <cols>
    <col min="7" max="7" width="13.33203125" customWidth="1"/>
    <col min="8" max="8" width="12.6640625" customWidth="1"/>
  </cols>
  <sheetData>
    <row r="1" spans="1:11" ht="62.4" customHeight="1" x14ac:dyDescent="0.3">
      <c r="A1" s="53" t="s">
        <v>29</v>
      </c>
      <c r="B1" s="53"/>
      <c r="C1" s="53"/>
      <c r="D1" s="53"/>
      <c r="E1" s="53"/>
      <c r="F1" s="53"/>
      <c r="G1" s="53"/>
      <c r="H1" s="53"/>
      <c r="I1" s="53"/>
      <c r="J1" s="53"/>
      <c r="K1" s="53"/>
    </row>
    <row r="4" spans="1:11" x14ac:dyDescent="0.3">
      <c r="B4" t="s">
        <v>37</v>
      </c>
      <c r="H4" s="43">
        <f>1/3*0.9+1/3*0.8+1/3*0.6</f>
        <v>0.76666666666666661</v>
      </c>
    </row>
    <row r="6" spans="1:11" x14ac:dyDescent="0.3">
      <c r="B6" t="s">
        <v>30</v>
      </c>
    </row>
    <row r="7" spans="1:11" ht="15.6" x14ac:dyDescent="0.3">
      <c r="E7" s="12" t="s">
        <v>31</v>
      </c>
      <c r="F7" s="8" t="s">
        <v>32</v>
      </c>
      <c r="G7" s="8"/>
      <c r="H7" t="s">
        <v>39</v>
      </c>
      <c r="I7" s="44">
        <f>0.9*1/3/H4</f>
        <v>0.39130434782608697</v>
      </c>
    </row>
    <row r="8" spans="1:11" ht="15.6" x14ac:dyDescent="0.3">
      <c r="E8" s="12" t="s">
        <v>33</v>
      </c>
      <c r="F8" s="8" t="s">
        <v>34</v>
      </c>
      <c r="G8" s="8"/>
      <c r="H8" t="s">
        <v>40</v>
      </c>
      <c r="I8" s="44">
        <f>0.8*1/3/H4</f>
        <v>0.34782608695652178</v>
      </c>
    </row>
    <row r="9" spans="1:11" ht="15.6" x14ac:dyDescent="0.3">
      <c r="E9" s="12" t="s">
        <v>36</v>
      </c>
      <c r="F9" s="8" t="s">
        <v>35</v>
      </c>
      <c r="G9" s="8"/>
      <c r="H9" t="s">
        <v>41</v>
      </c>
      <c r="I9" s="44">
        <f>0.6*1/3/H4</f>
        <v>0.2608695652173913</v>
      </c>
    </row>
    <row r="13" spans="1:11" x14ac:dyDescent="0.3">
      <c r="B13" s="7" t="s">
        <v>38</v>
      </c>
    </row>
  </sheetData>
  <mergeCells count="1">
    <mergeCell ref="A1:K1"/>
  </mergeCells>
  <phoneticPr fontId="6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92B7-F3D2-41D3-9F90-5E76E96F2C44}">
  <dimension ref="A1:K13"/>
  <sheetViews>
    <sheetView workbookViewId="0">
      <selection activeCell="D18" sqref="D18"/>
    </sheetView>
  </sheetViews>
  <sheetFormatPr defaultRowHeight="14.4" x14ac:dyDescent="0.3"/>
  <cols>
    <col min="1" max="1" width="11.6640625" customWidth="1"/>
    <col min="6" max="6" width="11.6640625" customWidth="1"/>
    <col min="11" max="11" width="14.21875" customWidth="1"/>
  </cols>
  <sheetData>
    <row r="1" spans="1:11" ht="79.2" customHeight="1" x14ac:dyDescent="0.3">
      <c r="A1" s="54" t="s">
        <v>42</v>
      </c>
      <c r="B1" s="54"/>
      <c r="C1" s="54"/>
      <c r="D1" s="54"/>
      <c r="E1" s="54"/>
      <c r="F1" s="54"/>
      <c r="G1" s="54"/>
      <c r="H1" s="54"/>
      <c r="I1" s="54"/>
      <c r="J1" s="54"/>
      <c r="K1" s="54"/>
    </row>
    <row r="3" spans="1:11" x14ac:dyDescent="0.3">
      <c r="H3" t="s">
        <v>38</v>
      </c>
    </row>
    <row r="4" spans="1:11" ht="28.8" x14ac:dyDescent="0.3">
      <c r="A4" s="46" t="s">
        <v>47</v>
      </c>
      <c r="B4" s="45" t="s">
        <v>43</v>
      </c>
      <c r="C4" s="45" t="s">
        <v>44</v>
      </c>
      <c r="D4" s="45" t="s">
        <v>45</v>
      </c>
    </row>
    <row r="5" spans="1:11" ht="43.2" x14ac:dyDescent="0.3">
      <c r="A5" s="46" t="s">
        <v>46</v>
      </c>
      <c r="B5" s="45">
        <v>0.8</v>
      </c>
      <c r="C5" s="45">
        <v>0.7</v>
      </c>
      <c r="D5" s="45">
        <v>0.9</v>
      </c>
    </row>
    <row r="9" spans="1:11" ht="18" x14ac:dyDescent="0.35">
      <c r="A9" t="s">
        <v>48</v>
      </c>
      <c r="E9" t="s">
        <v>49</v>
      </c>
      <c r="H9" s="47">
        <f>1/4*0.8+1/4*0.7+1/2*0.9</f>
        <v>0.82499999999999996</v>
      </c>
    </row>
    <row r="11" spans="1:11" ht="18" x14ac:dyDescent="0.35">
      <c r="A11" t="s">
        <v>50</v>
      </c>
      <c r="F11" t="s">
        <v>53</v>
      </c>
      <c r="G11" s="11">
        <f>B5*1/4/H9</f>
        <v>0.24242424242424246</v>
      </c>
    </row>
    <row r="12" spans="1:11" ht="18" x14ac:dyDescent="0.35">
      <c r="A12" t="s">
        <v>51</v>
      </c>
      <c r="F12" t="s">
        <v>54</v>
      </c>
      <c r="G12" s="11">
        <f>C5*1/4/H9</f>
        <v>0.21212121212121213</v>
      </c>
    </row>
    <row r="13" spans="1:11" ht="18" x14ac:dyDescent="0.35">
      <c r="A13" t="s">
        <v>52</v>
      </c>
      <c r="F13" t="s">
        <v>55</v>
      </c>
      <c r="G13" s="11">
        <f>D5*1/2/H9</f>
        <v>0.54545454545454553</v>
      </c>
    </row>
  </sheetData>
  <mergeCells count="1">
    <mergeCell ref="A1:K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A3062-D4AB-4809-8D5B-5FE2E134D84B}">
  <dimension ref="A1:I10"/>
  <sheetViews>
    <sheetView workbookViewId="0">
      <selection activeCell="F15" sqref="F15"/>
    </sheetView>
  </sheetViews>
  <sheetFormatPr defaultRowHeight="14.4" x14ac:dyDescent="0.3"/>
  <cols>
    <col min="1" max="1" width="13.21875" customWidth="1"/>
    <col min="2" max="2" width="9" customWidth="1"/>
    <col min="4" max="4" width="10" customWidth="1"/>
    <col min="9" max="9" width="22.44140625" customWidth="1"/>
  </cols>
  <sheetData>
    <row r="1" spans="1:9" ht="64.2" customHeight="1" x14ac:dyDescent="0.3">
      <c r="A1" s="54" t="s">
        <v>56</v>
      </c>
      <c r="B1" s="54"/>
      <c r="C1" s="54"/>
      <c r="D1" s="54"/>
      <c r="E1" s="54"/>
      <c r="F1" s="54"/>
      <c r="G1" s="54"/>
      <c r="H1" s="54"/>
      <c r="I1" s="54"/>
    </row>
    <row r="3" spans="1:9" x14ac:dyDescent="0.3">
      <c r="A3" s="45" t="s">
        <v>57</v>
      </c>
      <c r="B3" s="18">
        <v>1</v>
      </c>
      <c r="C3" s="18">
        <v>2</v>
      </c>
      <c r="D3" s="18">
        <v>3</v>
      </c>
    </row>
    <row r="4" spans="1:9" ht="72" customHeight="1" x14ac:dyDescent="0.3">
      <c r="A4" s="46" t="s">
        <v>58</v>
      </c>
      <c r="B4" s="18">
        <v>0.1</v>
      </c>
      <c r="C4" s="18">
        <v>0.2</v>
      </c>
      <c r="D4" s="18">
        <v>0.25</v>
      </c>
    </row>
    <row r="5" spans="1:9" ht="38.4" customHeight="1" x14ac:dyDescent="0.3">
      <c r="A5" s="46" t="s">
        <v>59</v>
      </c>
      <c r="B5" s="18">
        <f>1-B4</f>
        <v>0.9</v>
      </c>
      <c r="C5" s="18">
        <f>1-C4</f>
        <v>0.8</v>
      </c>
      <c r="D5" s="18">
        <f>1-D4</f>
        <v>0.75</v>
      </c>
    </row>
    <row r="7" spans="1:9" ht="18" x14ac:dyDescent="0.35">
      <c r="A7" s="7" t="s">
        <v>61</v>
      </c>
      <c r="B7" s="7"/>
      <c r="C7" s="48">
        <f>B4*C4*D4</f>
        <v>5.000000000000001E-3</v>
      </c>
    </row>
    <row r="8" spans="1:9" ht="18" x14ac:dyDescent="0.35">
      <c r="A8" s="7" t="s">
        <v>60</v>
      </c>
      <c r="B8" s="7"/>
      <c r="F8" s="48">
        <f>B4*C4*D5+B5*C4*D4+B4*C5*D4</f>
        <v>8.0000000000000016E-2</v>
      </c>
    </row>
    <row r="9" spans="1:9" ht="18" x14ac:dyDescent="0.35">
      <c r="A9" s="7" t="s">
        <v>62</v>
      </c>
      <c r="B9" s="7"/>
      <c r="C9" s="7"/>
      <c r="F9" s="48">
        <f>1-(B5*C5*D5)</f>
        <v>0.45999999999999996</v>
      </c>
    </row>
    <row r="10" spans="1:9" ht="18" x14ac:dyDescent="0.35">
      <c r="A10" s="7" t="s">
        <v>63</v>
      </c>
      <c r="B10" s="7"/>
      <c r="C10" s="7"/>
      <c r="H10" s="48">
        <f>B5*C5*D4+B4*C5*D5+B5*C4*D5+F8</f>
        <v>0.45500000000000007</v>
      </c>
    </row>
  </sheetData>
  <mergeCells count="1">
    <mergeCell ref="A1:I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2</vt:lpstr>
      <vt:lpstr>3</vt:lpstr>
      <vt:lpstr>4</vt:lpstr>
      <vt:lpstr>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Вероника Акулова</dc:creator>
  <cp:lastModifiedBy>Вероника Акулова</cp:lastModifiedBy>
  <dcterms:created xsi:type="dcterms:W3CDTF">2023-03-21T17:44:14Z</dcterms:created>
  <dcterms:modified xsi:type="dcterms:W3CDTF">2023-04-02T20:35:03Z</dcterms:modified>
</cp:coreProperties>
</file>