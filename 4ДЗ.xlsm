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ЭтаКнига" defaultThemeVersion="166925"/>
  <mc:AlternateContent xmlns:mc="http://schemas.openxmlformats.org/markup-compatibility/2006">
    <mc:Choice Requires="x15">
      <x15ac:absPath xmlns:x15ac="http://schemas.microsoft.com/office/spreadsheetml/2010/11/ac" url="C:\Verona\GeekBrains\7. Теория вероятностей и математическая статистика\4\"/>
    </mc:Choice>
  </mc:AlternateContent>
  <xr:revisionPtr revIDLastSave="0" documentId="13_ncr:1_{C8B59A10-494C-4F32-A66C-04556678CC8C}" xr6:coauthVersionLast="47" xr6:coauthVersionMax="47" xr10:uidLastSave="{00000000-0000-0000-0000-000000000000}"/>
  <bookViews>
    <workbookView xWindow="-108" yWindow="-108" windowWidth="23256" windowHeight="12456" xr2:uid="{7A3C373F-BCA3-4BFE-ADEA-977BFB33533D}"/>
  </bookViews>
  <sheets>
    <sheet name="1" sheetId="14" r:id="rId1"/>
    <sheet name="2" sheetId="15" r:id="rId2"/>
    <sheet name="3" sheetId="16" r:id="rId3"/>
    <sheet name="4" sheetId="17" r:id="rId4"/>
    <sheet name="5" sheetId="18" r:id="rId5"/>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 i="18" l="1"/>
  <c r="B9" i="18" s="1"/>
  <c r="G17" i="17"/>
  <c r="E17" i="17"/>
  <c r="H17" i="17"/>
  <c r="G16" i="17"/>
  <c r="H16" i="17"/>
  <c r="E16" i="17"/>
  <c r="H15" i="17"/>
  <c r="G15" i="17"/>
  <c r="E15" i="17"/>
  <c r="H14" i="17"/>
  <c r="G14" i="17"/>
  <c r="E14" i="17"/>
  <c r="H13" i="17"/>
  <c r="G13" i="17"/>
  <c r="E11" i="17"/>
  <c r="B14" i="15"/>
  <c r="B12" i="15"/>
  <c r="H12" i="17"/>
  <c r="G12" i="17"/>
  <c r="E12" i="17"/>
  <c r="H10" i="17"/>
  <c r="G10" i="17"/>
  <c r="E10" i="17"/>
  <c r="H9" i="17"/>
  <c r="G9" i="17"/>
  <c r="E9" i="17"/>
  <c r="C4" i="14"/>
  <c r="C3" i="14"/>
</calcChain>
</file>

<file path=xl/sharedStrings.xml><?xml version="1.0" encoding="utf-8"?>
<sst xmlns="http://schemas.openxmlformats.org/spreadsheetml/2006/main" count="42" uniqueCount="39">
  <si>
    <t>Случайная непрерывная величина A имеет равномерное распределение на промежутке (200, 800].
Найдите ее среднее значение и дисперсию.</t>
  </si>
  <si>
    <t xml:space="preserve">M(X) = (a+b) /2 </t>
  </si>
  <si>
    <t>D = (b-a)^2 /12</t>
  </si>
  <si>
    <t>О случайной непрерывной равномерно распределенной величине B известно, что ее дисперсия равна 0.2.
Можно ли найти правую границу величины B и ее среднее значение зная, что левая граница равна 0.5?
Если да, найдите ее.</t>
  </si>
  <si>
    <t>а</t>
  </si>
  <si>
    <t>в</t>
  </si>
  <si>
    <t>D</t>
  </si>
  <si>
    <t>M</t>
  </si>
  <si>
    <t>?</t>
  </si>
  <si>
    <t>Непрерывная случайная величина X распределена нормально и задана плотностью распределения
f(x) = (1 / (4 * sqrt(2pi))) * exp((-(x+2)**2) / 32)
Найдите:
а). M(X)
б). D(X)
в). std(X) (среднее квадратичное отклонение)</t>
  </si>
  <si>
    <t>в) std(X) = σ</t>
  </si>
  <si>
    <t>б) D(X) = σ^2</t>
  </si>
  <si>
    <t>а) M(X) = a</t>
  </si>
  <si>
    <t>Рост взрослого населения города X имеет нормальное распределение.
Причем, средний рост равен 174 см, а среднее квадратичное отклонение равно 8 см.
Какова вероятность того, что случайным образом выбранный взрослый человек имеет рост:
а). больше 182 см
б). больше 190 см
в). от 166 см до 190 см
г). от 166 см до 182 см
д). от 158 см до 190 см
е). не выше 150 см или не ниже 190 см
ё). не выше 150 см или не ниже 198 см
ж). ниже 166 см.</t>
  </si>
  <si>
    <t>σ</t>
  </si>
  <si>
    <t xml:space="preserve">μ </t>
  </si>
  <si>
    <t>Z</t>
  </si>
  <si>
    <t>Вероятность</t>
  </si>
  <si>
    <t>Вероятность, %</t>
  </si>
  <si>
    <t>0,2 = (b-0,5)^2/12</t>
  </si>
  <si>
    <t>0,2*12 = (b-0,5)^2</t>
  </si>
  <si>
    <r>
      <t xml:space="preserve">b = </t>
    </r>
    <r>
      <rPr>
        <b/>
        <sz val="14"/>
        <color theme="1"/>
        <rFont val="Calibri"/>
        <family val="2"/>
        <charset val="204"/>
      </rPr>
      <t>√2,4+0,5</t>
    </r>
  </si>
  <si>
    <t>Правая граница (b) равна =</t>
  </si>
  <si>
    <t>г). от 166 см до 182 см</t>
  </si>
  <si>
    <t>в). от 166 см до 190 см</t>
  </si>
  <si>
    <t>а). больше 182 см</t>
  </si>
  <si>
    <t>б). больше 190 см</t>
  </si>
  <si>
    <t>рост</t>
  </si>
  <si>
    <t>д).от 158 см до 190 см</t>
  </si>
  <si>
    <t>е). не выше 150 см или не ниже 190 см</t>
  </si>
  <si>
    <t>ё). не выше 150 см или не ниже 198 см</t>
  </si>
  <si>
    <t>ж). ниже 166 см</t>
  </si>
  <si>
    <t>На сколько сигм (средних квадратичных отклонений) отклоняется рост человека, равный 190 см, от математического ожидания роста в популяции, в которой M(X) = 178 см и D(X) = 25 кв.см?</t>
  </si>
  <si>
    <t>D(X)</t>
  </si>
  <si>
    <t>M(X)</t>
  </si>
  <si>
    <t>Sd</t>
  </si>
  <si>
    <t>сигм отклонение роста</t>
  </si>
  <si>
    <t>На</t>
  </si>
  <si>
    <t>таблица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</si>
</sst>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charset val="204"/>
      <scheme val="minor"/>
    </font>
    <font>
      <b/>
      <sz val="11"/>
      <color theme="1"/>
      <name val="Calibri"/>
      <family val="2"/>
      <charset val="204"/>
      <scheme val="minor"/>
    </font>
    <font>
      <b/>
      <sz val="14"/>
      <color theme="1"/>
      <name val="Calibri"/>
      <family val="2"/>
      <charset val="204"/>
      <scheme val="minor"/>
    </font>
    <font>
      <b/>
      <sz val="12"/>
      <color theme="1"/>
      <name val="Calibri"/>
      <family val="2"/>
      <charset val="204"/>
      <scheme val="minor"/>
    </font>
    <font>
      <sz val="16"/>
      <color theme="1"/>
      <name val="Calibri"/>
      <family val="2"/>
      <charset val="204"/>
      <scheme val="minor"/>
    </font>
    <font>
      <sz val="14"/>
      <color theme="1"/>
      <name val="Calibri"/>
      <family val="2"/>
      <charset val="204"/>
      <scheme val="minor"/>
    </font>
    <font>
      <b/>
      <sz val="14"/>
      <color theme="1"/>
      <name val="Calibri"/>
      <family val="2"/>
      <charset val="204"/>
    </font>
  </fonts>
  <fills count="7">
    <fill>
      <patternFill patternType="none"/>
    </fill>
    <fill>
      <patternFill patternType="gray125"/>
    </fill>
    <fill>
      <patternFill patternType="solid">
        <fgColor theme="7" tint="0.59999389629810485"/>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41">
    <xf numFmtId="0" fontId="0" fillId="0" borderId="0" xfId="0"/>
    <xf numFmtId="0" fontId="1" fillId="0" borderId="0" xfId="0" applyFont="1"/>
    <xf numFmtId="0" fontId="2" fillId="4" borderId="0" xfId="0" applyFont="1" applyFill="1"/>
    <xf numFmtId="0" fontId="0" fillId="0" borderId="1" xfId="0" applyBorder="1"/>
    <xf numFmtId="0" fontId="0" fillId="0" borderId="0" xfId="0" applyBorder="1"/>
    <xf numFmtId="0" fontId="2" fillId="2" borderId="0" xfId="0" applyFont="1" applyFill="1"/>
    <xf numFmtId="0" fontId="3" fillId="5" borderId="0" xfId="0" applyFont="1" applyFill="1" applyAlignment="1">
      <alignment horizontal="center" wrapText="1"/>
    </xf>
    <xf numFmtId="0" fontId="3" fillId="5" borderId="0" xfId="0" applyFont="1" applyFill="1" applyAlignment="1">
      <alignment horizontal="center"/>
    </xf>
    <xf numFmtId="0" fontId="0" fillId="0" borderId="4" xfId="0" applyBorder="1"/>
    <xf numFmtId="0" fontId="0" fillId="0" borderId="5" xfId="0" applyBorder="1"/>
    <xf numFmtId="0" fontId="0" fillId="0" borderId="3" xfId="0" applyBorder="1"/>
    <xf numFmtId="0" fontId="0" fillId="0" borderId="6" xfId="0" applyBorder="1"/>
    <xf numFmtId="0" fontId="0" fillId="0" borderId="7" xfId="0" applyBorder="1"/>
    <xf numFmtId="0" fontId="0" fillId="0" borderId="8" xfId="0" applyBorder="1"/>
    <xf numFmtId="0" fontId="0" fillId="2" borderId="3" xfId="0" applyFill="1" applyBorder="1"/>
    <xf numFmtId="0" fontId="0" fillId="2" borderId="8" xfId="0" applyFill="1" applyBorder="1"/>
    <xf numFmtId="0" fontId="4" fillId="0" borderId="1" xfId="0" applyFont="1" applyBorder="1" applyAlignment="1">
      <alignment horizontal="center"/>
    </xf>
    <xf numFmtId="0" fontId="4" fillId="0" borderId="1" xfId="0" applyFont="1" applyFill="1" applyBorder="1" applyAlignment="1">
      <alignment horizontal="center"/>
    </xf>
    <xf numFmtId="0" fontId="5" fillId="0" borderId="1" xfId="0" applyFont="1" applyBorder="1" applyAlignment="1">
      <alignment horizontal="center"/>
    </xf>
    <xf numFmtId="0" fontId="0" fillId="6" borderId="1" xfId="0" applyFill="1" applyBorder="1"/>
    <xf numFmtId="0" fontId="2" fillId="2" borderId="1" xfId="0" applyFont="1" applyFill="1" applyBorder="1"/>
    <xf numFmtId="0" fontId="1" fillId="3" borderId="1" xfId="0" applyFont="1" applyFill="1" applyBorder="1" applyAlignment="1">
      <alignment horizontal="center"/>
    </xf>
    <xf numFmtId="0" fontId="0" fillId="0" borderId="0" xfId="0" applyAlignment="1">
      <alignment horizontal="right"/>
    </xf>
    <xf numFmtId="0" fontId="0" fillId="2" borderId="1" xfId="0" applyFill="1" applyBorder="1"/>
    <xf numFmtId="0" fontId="0" fillId="0" borderId="2" xfId="0" applyBorder="1"/>
    <xf numFmtId="0" fontId="0" fillId="2" borderId="2" xfId="0" applyFill="1" applyBorder="1"/>
    <xf numFmtId="0" fontId="0" fillId="0" borderId="9" xfId="0" applyBorder="1"/>
    <xf numFmtId="0" fontId="0" fillId="0" borderId="7" xfId="0" applyBorder="1" applyAlignment="1">
      <alignment horizontal="right"/>
    </xf>
    <xf numFmtId="0" fontId="0" fillId="2" borderId="9" xfId="0" applyFill="1" applyBorder="1"/>
    <xf numFmtId="0" fontId="2" fillId="0" borderId="0" xfId="0" applyFont="1"/>
    <xf numFmtId="0" fontId="0" fillId="0" borderId="5" xfId="0" applyBorder="1" applyAlignment="1">
      <alignment horizontal="right"/>
    </xf>
    <xf numFmtId="0" fontId="0" fillId="0" borderId="0" xfId="0" applyFill="1" applyBorder="1"/>
    <xf numFmtId="0" fontId="0" fillId="0" borderId="1" xfId="0" applyFill="1" applyBorder="1"/>
    <xf numFmtId="0" fontId="0" fillId="0" borderId="1" xfId="0" applyNumberFormat="1" applyBorder="1"/>
    <xf numFmtId="0" fontId="0" fillId="0" borderId="2" xfId="0" applyNumberFormat="1" applyBorder="1"/>
    <xf numFmtId="0" fontId="0" fillId="0" borderId="4" xfId="0" applyNumberFormat="1" applyBorder="1"/>
    <xf numFmtId="0" fontId="0" fillId="0" borderId="6" xfId="0" applyNumberFormat="1" applyBorder="1"/>
    <xf numFmtId="0" fontId="0" fillId="0" borderId="9" xfId="0" applyNumberFormat="1" applyBorder="1"/>
    <xf numFmtId="0" fontId="0" fillId="0" borderId="0" xfId="0" applyNumberFormat="1" applyBorder="1"/>
    <xf numFmtId="0" fontId="1" fillId="3" borderId="4" xfId="0" applyFont="1" applyFill="1" applyBorder="1" applyAlignment="1">
      <alignment horizontal="center"/>
    </xf>
    <xf numFmtId="0" fontId="0" fillId="0" borderId="10" xfId="0" applyBorder="1"/>
  </cellXfs>
  <cellStyles count="1">
    <cellStyle name="Обычный" xfId="0" builtinId="0"/>
  </cellStyles>
  <dxfs count="0"/>
  <tableStyles count="0" defaultTableStyle="TableStyleMedium2" defaultPivotStyle="PivotStyleLight16"/>
  <colors>
    <mruColors>
      <color rgb="FFFFC1E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9</xdr:col>
      <xdr:colOff>777240</xdr:colOff>
      <xdr:row>4</xdr:row>
      <xdr:rowOff>156210</xdr:rowOff>
    </xdr:from>
    <xdr:ext cx="65" cy="172227"/>
    <xdr:sp macro="" textlink="">
      <xdr:nvSpPr>
        <xdr:cNvPr id="2" name="TextBox 1">
          <a:extLst>
            <a:ext uri="{FF2B5EF4-FFF2-40B4-BE49-F238E27FC236}">
              <a16:creationId xmlns:a16="http://schemas.microsoft.com/office/drawing/2014/main" id="{31EDF5A4-E0E8-4411-898D-02BA76B828E6}"/>
            </a:ext>
          </a:extLst>
        </xdr:cNvPr>
        <xdr:cNvSpPr txBox="1"/>
      </xdr:nvSpPr>
      <xdr:spPr>
        <a:xfrm>
          <a:off x="6629400" y="205359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ru-RU" sz="1100"/>
        </a:p>
      </xdr:txBody>
    </xdr:sp>
    <xdr:clientData/>
  </xdr:oneCellAnchor>
  <xdr:twoCellAnchor editAs="oneCell">
    <xdr:from>
      <xdr:col>2</xdr:col>
      <xdr:colOff>426720</xdr:colOff>
      <xdr:row>1</xdr:row>
      <xdr:rowOff>175260</xdr:rowOff>
    </xdr:from>
    <xdr:to>
      <xdr:col>7</xdr:col>
      <xdr:colOff>382905</xdr:colOff>
      <xdr:row>8</xdr:row>
      <xdr:rowOff>22225</xdr:rowOff>
    </xdr:to>
    <xdr:pic>
      <xdr:nvPicPr>
        <xdr:cNvPr id="4" name="image2.png">
          <a:extLst>
            <a:ext uri="{FF2B5EF4-FFF2-40B4-BE49-F238E27FC236}">
              <a16:creationId xmlns:a16="http://schemas.microsoft.com/office/drawing/2014/main" id="{5D6F0F71-1A95-4E86-8544-ED8471D6CDEC}"/>
            </a:ext>
          </a:extLst>
        </xdr:cNvPr>
        <xdr:cNvPicPr/>
      </xdr:nvPicPr>
      <xdr:blipFill>
        <a:blip xmlns:r="http://schemas.openxmlformats.org/officeDocument/2006/relationships" r:embed="rId1"/>
        <a:srcRect/>
        <a:stretch>
          <a:fillRect/>
        </a:stretch>
      </xdr:blipFill>
      <xdr:spPr>
        <a:xfrm>
          <a:off x="2011680" y="1524000"/>
          <a:ext cx="3004185" cy="1127125"/>
        </a:xfrm>
        <a:prstGeom prst="rect">
          <a:avLst/>
        </a:prstGeom>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3</xdr:row>
      <xdr:rowOff>0</xdr:rowOff>
    </xdr:from>
    <xdr:to>
      <xdr:col>5</xdr:col>
      <xdr:colOff>388620</xdr:colOff>
      <xdr:row>5</xdr:row>
      <xdr:rowOff>99060</xdr:rowOff>
    </xdr:to>
    <xdr:pic>
      <xdr:nvPicPr>
        <xdr:cNvPr id="3" name="Рисунок 2">
          <a:extLst>
            <a:ext uri="{FF2B5EF4-FFF2-40B4-BE49-F238E27FC236}">
              <a16:creationId xmlns:a16="http://schemas.microsoft.com/office/drawing/2014/main" id="{716A7F7A-691C-4B2E-B08D-759EDA282313}"/>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438400" y="2910840"/>
          <a:ext cx="998220" cy="5562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3</xdr:row>
      <xdr:rowOff>0</xdr:rowOff>
    </xdr:from>
    <xdr:to>
      <xdr:col>6</xdr:col>
      <xdr:colOff>388620</xdr:colOff>
      <xdr:row>6</xdr:row>
      <xdr:rowOff>7620</xdr:rowOff>
    </xdr:to>
    <xdr:pic>
      <xdr:nvPicPr>
        <xdr:cNvPr id="2" name="Рисунок 1">
          <a:extLst>
            <a:ext uri="{FF2B5EF4-FFF2-40B4-BE49-F238E27FC236}">
              <a16:creationId xmlns:a16="http://schemas.microsoft.com/office/drawing/2014/main" id="{488F00FD-2D73-43AB-BAF8-A67CFA2D8C6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438400" y="1043940"/>
          <a:ext cx="998220" cy="5562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A971F-E5B8-4C09-AFCF-69B59DDC2149}">
  <dimension ref="A1:I4"/>
  <sheetViews>
    <sheetView tabSelected="1" workbookViewId="0">
      <selection activeCell="C22" sqref="C22"/>
    </sheetView>
  </sheetViews>
  <sheetFormatPr defaultRowHeight="14.4" x14ac:dyDescent="0.3"/>
  <cols>
    <col min="1" max="1" width="15" customWidth="1"/>
    <col min="2" max="2" width="6.109375" customWidth="1"/>
  </cols>
  <sheetData>
    <row r="1" spans="1:9" ht="51" customHeight="1" x14ac:dyDescent="0.3">
      <c r="A1" s="6" t="s">
        <v>0</v>
      </c>
      <c r="B1" s="7"/>
      <c r="C1" s="7"/>
      <c r="D1" s="7"/>
      <c r="E1" s="7"/>
      <c r="F1" s="7"/>
      <c r="G1" s="7"/>
      <c r="H1" s="7"/>
      <c r="I1" s="7"/>
    </row>
    <row r="3" spans="1:9" x14ac:dyDescent="0.3">
      <c r="A3" s="8" t="s">
        <v>1</v>
      </c>
      <c r="B3" s="9"/>
      <c r="C3" s="14">
        <f xml:space="preserve"> (200+800) /2</f>
        <v>500</v>
      </c>
    </row>
    <row r="4" spans="1:9" x14ac:dyDescent="0.3">
      <c r="A4" s="11" t="s">
        <v>2</v>
      </c>
      <c r="B4" s="12"/>
      <c r="C4" s="15">
        <f>(POWER(600,2))/12</f>
        <v>30000</v>
      </c>
    </row>
  </sheetData>
  <mergeCells count="1">
    <mergeCell ref="A1:I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75CD7-CC38-4656-BBC8-94239FBC1910}">
  <dimension ref="A1:I14"/>
  <sheetViews>
    <sheetView workbookViewId="0">
      <selection activeCell="A8" sqref="A8"/>
    </sheetView>
  </sheetViews>
  <sheetFormatPr defaultRowHeight="14.4" x14ac:dyDescent="0.3"/>
  <cols>
    <col min="1" max="1" width="18.88671875" customWidth="1"/>
    <col min="9" max="9" width="35.5546875" customWidth="1"/>
  </cols>
  <sheetData>
    <row r="1" spans="1:9" ht="54" customHeight="1" x14ac:dyDescent="0.3">
      <c r="A1" s="6" t="s">
        <v>3</v>
      </c>
      <c r="B1" s="7"/>
      <c r="C1" s="7"/>
      <c r="D1" s="7"/>
      <c r="E1" s="7"/>
      <c r="F1" s="7"/>
      <c r="G1" s="7"/>
      <c r="H1" s="7"/>
      <c r="I1" s="7"/>
    </row>
    <row r="3" spans="1:9" ht="21" x14ac:dyDescent="0.4">
      <c r="B3" s="16" t="s">
        <v>4</v>
      </c>
      <c r="C3" s="16" t="s">
        <v>5</v>
      </c>
      <c r="D3" s="16" t="s">
        <v>6</v>
      </c>
      <c r="E3" s="17" t="s">
        <v>7</v>
      </c>
    </row>
    <row r="4" spans="1:9" ht="21" x14ac:dyDescent="0.4">
      <c r="B4" s="16">
        <v>0.5</v>
      </c>
      <c r="C4" s="16" t="s">
        <v>8</v>
      </c>
      <c r="D4" s="16">
        <v>0.2</v>
      </c>
      <c r="E4" s="18" t="s">
        <v>8</v>
      </c>
    </row>
    <row r="8" spans="1:9" x14ac:dyDescent="0.3">
      <c r="A8" s="1" t="s">
        <v>2</v>
      </c>
    </row>
    <row r="9" spans="1:9" x14ac:dyDescent="0.3">
      <c r="A9" t="s">
        <v>22</v>
      </c>
    </row>
    <row r="10" spans="1:9" x14ac:dyDescent="0.3">
      <c r="A10" t="s">
        <v>19</v>
      </c>
    </row>
    <row r="11" spans="1:9" x14ac:dyDescent="0.3">
      <c r="A11" t="s">
        <v>20</v>
      </c>
    </row>
    <row r="12" spans="1:9" ht="18" x14ac:dyDescent="0.35">
      <c r="A12" s="29" t="s">
        <v>21</v>
      </c>
      <c r="B12" s="5">
        <f>SQRT(2.4)+0.5</f>
        <v>2.0491933384829668</v>
      </c>
    </row>
    <row r="14" spans="1:9" ht="18" x14ac:dyDescent="0.35">
      <c r="A14" s="29" t="s">
        <v>1</v>
      </c>
      <c r="B14" s="5">
        <f>(B4+B12)/2</f>
        <v>1.2745966692414834</v>
      </c>
    </row>
  </sheetData>
  <mergeCells count="1">
    <mergeCell ref="A1:I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8EE13-16C4-46FD-8B42-EA5271A33F2E}">
  <dimension ref="A1:J5"/>
  <sheetViews>
    <sheetView workbookViewId="0">
      <selection activeCell="J10" sqref="J10"/>
    </sheetView>
  </sheetViews>
  <sheetFormatPr defaultRowHeight="14.4" x14ac:dyDescent="0.3"/>
  <cols>
    <col min="1" max="1" width="14.21875" customWidth="1"/>
    <col min="10" max="10" width="13.33203125" customWidth="1"/>
  </cols>
  <sheetData>
    <row r="1" spans="1:10" ht="106.2" customHeight="1" x14ac:dyDescent="0.3">
      <c r="A1" s="6" t="s">
        <v>9</v>
      </c>
      <c r="B1" s="7"/>
      <c r="C1" s="7"/>
      <c r="D1" s="7"/>
      <c r="E1" s="7"/>
      <c r="F1" s="7"/>
      <c r="G1" s="7"/>
      <c r="H1" s="7"/>
      <c r="I1" s="7"/>
      <c r="J1" s="7"/>
    </row>
    <row r="3" spans="1:10" x14ac:dyDescent="0.3">
      <c r="A3" s="3" t="s">
        <v>12</v>
      </c>
      <c r="B3" s="19">
        <v>-2</v>
      </c>
    </row>
    <row r="4" spans="1:10" x14ac:dyDescent="0.3">
      <c r="A4" s="3" t="s">
        <v>11</v>
      </c>
      <c r="B4" s="19">
        <v>16</v>
      </c>
    </row>
    <row r="5" spans="1:10" x14ac:dyDescent="0.3">
      <c r="A5" s="3" t="s">
        <v>10</v>
      </c>
      <c r="B5" s="19">
        <v>4</v>
      </c>
    </row>
  </sheetData>
  <mergeCells count="1">
    <mergeCell ref="A1:J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32E2C-04C3-4290-8A05-487ACAE430CE}">
  <dimension ref="A1:J21"/>
  <sheetViews>
    <sheetView workbookViewId="0">
      <selection activeCell="J7" sqref="J7"/>
    </sheetView>
  </sheetViews>
  <sheetFormatPr defaultRowHeight="14.4" x14ac:dyDescent="0.3"/>
  <cols>
    <col min="3" max="3" width="18.33203125" customWidth="1"/>
    <col min="4" max="4" width="6.44140625" customWidth="1"/>
    <col min="7" max="7" width="13.109375" customWidth="1"/>
    <col min="8" max="8" width="13.5546875" customWidth="1"/>
  </cols>
  <sheetData>
    <row r="1" spans="1:10" s="1" customFormat="1" ht="200.4" customHeight="1" x14ac:dyDescent="0.3">
      <c r="A1" s="6" t="s">
        <v>13</v>
      </c>
      <c r="B1" s="7"/>
      <c r="C1" s="7"/>
      <c r="D1" s="7"/>
      <c r="E1" s="7"/>
      <c r="F1" s="7"/>
      <c r="G1" s="7"/>
      <c r="H1" s="7"/>
      <c r="I1" s="7"/>
      <c r="J1" s="7"/>
    </row>
    <row r="4" spans="1:10" ht="18" x14ac:dyDescent="0.35">
      <c r="A4" s="20" t="s">
        <v>14</v>
      </c>
      <c r="B4" s="20">
        <v>8</v>
      </c>
    </row>
    <row r="5" spans="1:10" ht="18" x14ac:dyDescent="0.35">
      <c r="A5" s="20" t="s">
        <v>15</v>
      </c>
      <c r="B5" s="20">
        <v>174</v>
      </c>
    </row>
    <row r="8" spans="1:10" x14ac:dyDescent="0.3">
      <c r="D8" s="39" t="s">
        <v>27</v>
      </c>
      <c r="E8" s="21" t="s">
        <v>16</v>
      </c>
      <c r="F8" s="21" t="s">
        <v>38</v>
      </c>
      <c r="G8" s="21" t="s">
        <v>17</v>
      </c>
      <c r="H8" s="21" t="s">
        <v>18</v>
      </c>
    </row>
    <row r="9" spans="1:10" x14ac:dyDescent="0.3">
      <c r="A9" t="s">
        <v>25</v>
      </c>
      <c r="D9" s="3">
        <v>182</v>
      </c>
      <c r="E9" s="33">
        <f>(D9-B5)/B4</f>
        <v>1</v>
      </c>
      <c r="F9" s="3">
        <v>0.84130000000000005</v>
      </c>
      <c r="G9" s="3">
        <f>1-F9</f>
        <v>0.15869999999999995</v>
      </c>
      <c r="H9" s="23">
        <f>G9*100</f>
        <v>15.869999999999996</v>
      </c>
    </row>
    <row r="10" spans="1:10" x14ac:dyDescent="0.3">
      <c r="A10" t="s">
        <v>26</v>
      </c>
      <c r="D10" s="3">
        <v>190</v>
      </c>
      <c r="E10" s="34">
        <f>(D10-B5)/B4</f>
        <v>2</v>
      </c>
      <c r="F10" s="24">
        <v>0.97719999999999996</v>
      </c>
      <c r="G10" s="24">
        <f>1-F10</f>
        <v>2.2800000000000042E-2</v>
      </c>
      <c r="H10" s="25">
        <f>G10*100</f>
        <v>2.2800000000000042</v>
      </c>
    </row>
    <row r="11" spans="1:10" x14ac:dyDescent="0.3">
      <c r="A11" s="8" t="s">
        <v>24</v>
      </c>
      <c r="B11" s="9"/>
      <c r="C11" s="30"/>
      <c r="D11" s="3">
        <v>166</v>
      </c>
      <c r="E11" s="35">
        <f>(D11-B5)/B4</f>
        <v>-1</v>
      </c>
      <c r="F11" s="10">
        <v>0.15870000000000001</v>
      </c>
      <c r="G11" s="24"/>
      <c r="H11" s="24"/>
    </row>
    <row r="12" spans="1:10" x14ac:dyDescent="0.3">
      <c r="A12" s="11"/>
      <c r="B12" s="12"/>
      <c r="C12" s="27"/>
      <c r="D12" s="3">
        <v>190</v>
      </c>
      <c r="E12" s="36">
        <f>(D12-B5)/B4</f>
        <v>2</v>
      </c>
      <c r="F12" s="13">
        <v>0.97719999999999996</v>
      </c>
      <c r="G12" s="26">
        <f>F12-F11</f>
        <v>0.81850000000000001</v>
      </c>
      <c r="H12" s="28">
        <f>G12*100</f>
        <v>81.849999999999994</v>
      </c>
    </row>
    <row r="13" spans="1:10" x14ac:dyDescent="0.3">
      <c r="A13" s="31" t="s">
        <v>23</v>
      </c>
      <c r="D13" s="32"/>
      <c r="E13" s="37"/>
      <c r="F13" s="26"/>
      <c r="G13" s="26">
        <f>F9-F11</f>
        <v>0.6826000000000001</v>
      </c>
      <c r="H13" s="28">
        <f>G13*100</f>
        <v>68.260000000000005</v>
      </c>
    </row>
    <row r="14" spans="1:10" x14ac:dyDescent="0.3">
      <c r="A14" s="31" t="s">
        <v>28</v>
      </c>
      <c r="D14" s="32">
        <v>158</v>
      </c>
      <c r="E14" s="33">
        <f>(D14-B5)/B4</f>
        <v>-2</v>
      </c>
      <c r="F14" s="3">
        <v>2.2800000000000001E-2</v>
      </c>
      <c r="G14" s="3">
        <f>F12-F14</f>
        <v>0.95439999999999992</v>
      </c>
      <c r="H14" s="23">
        <f>G14*100</f>
        <v>95.44</v>
      </c>
    </row>
    <row r="15" spans="1:10" x14ac:dyDescent="0.3">
      <c r="A15" s="31" t="s">
        <v>29</v>
      </c>
      <c r="D15" s="3">
        <v>150</v>
      </c>
      <c r="E15" s="33">
        <f>(D15-B5)/B4</f>
        <v>-3</v>
      </c>
      <c r="F15" s="3">
        <v>1.4E-3</v>
      </c>
      <c r="G15" s="3">
        <f>G10+F15</f>
        <v>2.4200000000000041E-2</v>
      </c>
      <c r="H15" s="23">
        <f>G15*100</f>
        <v>2.4200000000000039</v>
      </c>
    </row>
    <row r="16" spans="1:10" x14ac:dyDescent="0.3">
      <c r="A16" s="31" t="s">
        <v>30</v>
      </c>
      <c r="D16" s="3">
        <v>198</v>
      </c>
      <c r="E16" s="33">
        <f>(D16-B5)/B4</f>
        <v>3</v>
      </c>
      <c r="F16" s="3">
        <v>0.99860000000000004</v>
      </c>
      <c r="G16" s="3">
        <f>1-F16+F15</f>
        <v>2.799999999999957E-3</v>
      </c>
      <c r="H16" s="23">
        <f>G16*100</f>
        <v>0.2799999999999957</v>
      </c>
    </row>
    <row r="17" spans="1:9" x14ac:dyDescent="0.3">
      <c r="A17" s="31" t="s">
        <v>31</v>
      </c>
      <c r="D17" s="3">
        <v>166</v>
      </c>
      <c r="E17" s="33">
        <f>(D17-B5)/B4</f>
        <v>-1</v>
      </c>
      <c r="F17" s="40">
        <v>0.15870000000000001</v>
      </c>
      <c r="G17" s="3">
        <f>F17</f>
        <v>0.15870000000000001</v>
      </c>
      <c r="H17" s="23">
        <f>G17*100</f>
        <v>15.870000000000001</v>
      </c>
    </row>
    <row r="18" spans="1:9" x14ac:dyDescent="0.3">
      <c r="D18" s="4"/>
      <c r="E18" s="38"/>
      <c r="F18" s="4"/>
      <c r="G18" s="4"/>
      <c r="H18" s="4"/>
      <c r="I18" s="4"/>
    </row>
    <row r="19" spans="1:9" ht="15.6" customHeight="1" x14ac:dyDescent="0.3">
      <c r="D19" s="4"/>
      <c r="E19" s="38"/>
      <c r="F19" s="4"/>
      <c r="G19" s="4"/>
      <c r="H19" s="4"/>
      <c r="I19" s="4"/>
    </row>
    <row r="20" spans="1:9" x14ac:dyDescent="0.3">
      <c r="D20" s="4"/>
      <c r="E20" s="38"/>
      <c r="F20" s="4"/>
      <c r="G20" s="4"/>
      <c r="H20" s="4"/>
      <c r="I20" s="4"/>
    </row>
    <row r="21" spans="1:9" x14ac:dyDescent="0.3">
      <c r="D21" s="4"/>
      <c r="E21" s="38"/>
      <c r="F21" s="4"/>
      <c r="G21" s="4"/>
      <c r="H21" s="4"/>
      <c r="I21" s="4"/>
    </row>
  </sheetData>
  <mergeCells count="1">
    <mergeCell ref="A1:J1"/>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B41C7-CD81-4BDF-95A7-689B792EB218}">
  <dimension ref="A1:J9"/>
  <sheetViews>
    <sheetView workbookViewId="0">
      <selection activeCell="F20" sqref="F20"/>
    </sheetView>
  </sheetViews>
  <sheetFormatPr defaultRowHeight="14.4" x14ac:dyDescent="0.3"/>
  <sheetData>
    <row r="1" spans="1:10" ht="53.4" customHeight="1" x14ac:dyDescent="0.3">
      <c r="A1" s="6" t="s">
        <v>32</v>
      </c>
      <c r="B1" s="6"/>
      <c r="C1" s="6"/>
      <c r="D1" s="6"/>
      <c r="E1" s="6"/>
      <c r="F1" s="6"/>
      <c r="G1" s="6"/>
      <c r="H1" s="6"/>
      <c r="I1" s="6"/>
      <c r="J1" s="6"/>
    </row>
    <row r="4" spans="1:10" x14ac:dyDescent="0.3">
      <c r="B4" s="3" t="s">
        <v>33</v>
      </c>
      <c r="C4" s="3">
        <v>25</v>
      </c>
    </row>
    <row r="5" spans="1:10" x14ac:dyDescent="0.3">
      <c r="B5" s="3" t="s">
        <v>34</v>
      </c>
      <c r="C5" s="3">
        <v>178</v>
      </c>
    </row>
    <row r="6" spans="1:10" x14ac:dyDescent="0.3">
      <c r="B6" s="3" t="s">
        <v>35</v>
      </c>
      <c r="C6" s="3">
        <f>SQRT(C4)</f>
        <v>5</v>
      </c>
    </row>
    <row r="9" spans="1:10" ht="18" x14ac:dyDescent="0.35">
      <c r="A9" s="22" t="s">
        <v>37</v>
      </c>
      <c r="B9" s="2">
        <f>(190-C5)/C6</f>
        <v>2.4</v>
      </c>
      <c r="C9" t="s">
        <v>36</v>
      </c>
    </row>
  </sheetData>
  <mergeCells count="1">
    <mergeCell ref="A1:J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vt:i4>
      </vt:variant>
    </vt:vector>
  </HeadingPairs>
  <TitlesOfParts>
    <vt:vector size="5" baseType="lpstr">
      <vt:lpstr>1</vt:lpstr>
      <vt:lpstr>2</vt:lpstr>
      <vt:lpstr>3</vt:lpstr>
      <vt:lpstr>4</vt:lpstr>
      <vt:lpstr>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Вероника Акулова</dc:creator>
  <cp:lastModifiedBy>Вероника Акулова</cp:lastModifiedBy>
  <dcterms:created xsi:type="dcterms:W3CDTF">2023-03-21T17:44:14Z</dcterms:created>
  <dcterms:modified xsi:type="dcterms:W3CDTF">2023-04-06T19:41:55Z</dcterms:modified>
</cp:coreProperties>
</file>