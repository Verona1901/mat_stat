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ЭтаКнига" defaultThemeVersion="166925"/>
  <mc:AlternateContent xmlns:mc="http://schemas.openxmlformats.org/markup-compatibility/2006">
    <mc:Choice Requires="x15">
      <x15ac:absPath xmlns:x15ac="http://schemas.microsoft.com/office/spreadsheetml/2010/11/ac" url="C:\Verona\GeekBrains\7. Теория вероятностей и математическая статистика\2\"/>
    </mc:Choice>
  </mc:AlternateContent>
  <xr:revisionPtr revIDLastSave="0" documentId="13_ncr:1_{09E41F2A-DC87-4AF2-A513-BDC287ED6F44}" xr6:coauthVersionLast="47" xr6:coauthVersionMax="47" xr10:uidLastSave="{00000000-0000-0000-0000-000000000000}"/>
  <bookViews>
    <workbookView xWindow="-108" yWindow="-108" windowWidth="23256" windowHeight="12456" activeTab="3" xr2:uid="{7A3C373F-BCA3-4BFE-ADEA-977BFB33533D}"/>
  </bookViews>
  <sheets>
    <sheet name="1" sheetId="5" r:id="rId1"/>
    <sheet name="2" sheetId="6" r:id="rId2"/>
    <sheet name="3" sheetId="7" r:id="rId3"/>
    <sheet name="4" sheetId="8" r:id="rId4"/>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E22" i="8" l="1"/>
  <c r="Z22" i="8"/>
  <c r="AH17" i="8"/>
  <c r="AC17" i="8"/>
  <c r="C20" i="8" l="1"/>
  <c r="C19" i="8"/>
  <c r="N11" i="6"/>
  <c r="M14" i="6"/>
  <c r="J14" i="6"/>
  <c r="AN9" i="8"/>
  <c r="AK9" i="8"/>
  <c r="AK17" i="8"/>
  <c r="AA17" i="8"/>
  <c r="O9" i="8"/>
  <c r="O17" i="8"/>
  <c r="I17" i="8"/>
  <c r="X9" i="8"/>
  <c r="L9" i="8"/>
  <c r="AA9" i="8"/>
  <c r="I9" i="8"/>
  <c r="AN17" i="8"/>
  <c r="AF17" i="8"/>
  <c r="X17" i="8"/>
  <c r="U9" i="8"/>
  <c r="L17" i="8"/>
  <c r="AF9" i="8"/>
  <c r="U17" i="8"/>
  <c r="R9" i="8"/>
  <c r="R17" i="8"/>
  <c r="C23" i="8" l="1"/>
  <c r="AJ22" i="8"/>
  <c r="AM22" i="8"/>
  <c r="AN23" i="8" s="1"/>
  <c r="AF23" i="8"/>
  <c r="W22" i="8"/>
  <c r="X23" i="8" s="1"/>
  <c r="T22" i="8"/>
  <c r="N22" i="8"/>
  <c r="Q22" i="8"/>
  <c r="K22" i="8"/>
  <c r="L23" i="8" s="1"/>
  <c r="H22" i="8"/>
  <c r="K11" i="6"/>
  <c r="H16" i="5"/>
  <c r="AB26" i="8" l="1"/>
  <c r="P26" i="8"/>
  <c r="H18" i="5"/>
  <c r="AA23" i="8"/>
  <c r="U23" i="8"/>
  <c r="V26" i="8"/>
  <c r="AL26" i="8"/>
  <c r="AM26" i="8" s="1"/>
  <c r="AK23" i="8"/>
  <c r="R23" i="8"/>
  <c r="O23" i="8"/>
  <c r="I23" i="8"/>
  <c r="J26" i="8"/>
  <c r="J27" i="8" s="1"/>
  <c r="M15" i="6"/>
  <c r="J15" i="6"/>
  <c r="X29" i="8" l="1"/>
</calcChain>
</file>

<file path=xl/sharedStrings.xml><?xml version="1.0" encoding="utf-8"?>
<sst xmlns="http://schemas.openxmlformats.org/spreadsheetml/2006/main" count="158" uniqueCount="60">
  <si>
    <t>m = 2</t>
  </si>
  <si>
    <t>n = 100</t>
  </si>
  <si>
    <t>m =2</t>
  </si>
  <si>
    <t xml:space="preserve">Р= благопр. исходы / общее число исходов </t>
  </si>
  <si>
    <t>n = 9</t>
  </si>
  <si>
    <t>общее кол-во исходов</t>
  </si>
  <si>
    <t>благоприятные исходы</t>
  </si>
  <si>
    <r>
      <t>В</t>
    </r>
    <r>
      <rPr>
        <b/>
        <sz val="14"/>
        <color theme="1"/>
        <rFont val="Calibri"/>
        <family val="2"/>
        <charset val="204"/>
        <scheme val="minor"/>
      </rPr>
      <t>ероятность того, что стрелок попадет в мишень, выстрелив один раз, равна 0.8. Стрелок выстрелил 100 раз. Найдите вероятность того, что стрелок попадет в цель ровно 85 раз.</t>
    </r>
  </si>
  <si>
    <t>Формула Бернулли</t>
  </si>
  <si>
    <t>k = 85</t>
  </si>
  <si>
    <t>p = 0,8</t>
  </si>
  <si>
    <t>q = 0,2</t>
  </si>
  <si>
    <t>100!/85!(100-85)! * 0,8^85 * 0,2^15</t>
  </si>
  <si>
    <t>Вероятность того, что стрелок попадет в цель ровно 85 раз</t>
  </si>
  <si>
    <t>В процентах</t>
  </si>
  <si>
    <t>Вероятность того, что лампочка перегорит в течение первого дня эксплуатации, равна 0.0004. В жилом комплексе после ремонта в один день включили 5000 новых лампочек. Какова вероятность, что ни одна из них не перегорит в первый день? Какова вероятность, что перегорят ровно две?</t>
  </si>
  <si>
    <t>Формула Пуассона</t>
  </si>
  <si>
    <t>Λ = 5000*0,0004</t>
  </si>
  <si>
    <t>p =</t>
  </si>
  <si>
    <t xml:space="preserve">n = </t>
  </si>
  <si>
    <t xml:space="preserve">m = </t>
  </si>
  <si>
    <t>Вероятность, что перегорят 2 лампочки в первый день</t>
  </si>
  <si>
    <t xml:space="preserve">В процентах </t>
  </si>
  <si>
    <t>Вероятность, что перегорят 0 лампочек в первый день</t>
  </si>
  <si>
    <t>Монету подбросили 144 раза. Какова вероятность, что орел выпадет ровно 70 раз?</t>
  </si>
  <si>
    <t>q = 0,5</t>
  </si>
  <si>
    <t>n = 144</t>
  </si>
  <si>
    <t>k = 70</t>
  </si>
  <si>
    <t>Вероятность, что орел выпадет ровно 70 раз</t>
  </si>
  <si>
    <t>В первом ящике находится 10 мячей, из которых 7 - белые. Во втором ящике - 11 мячей, из которых 9 белых. Из каждого ящика вытаскивают случайным образом по два мяча. Какова вероятность того, что все мячи белые? Какова вероятность того, что ровно два мяча белые? Какова вероятность того, что хотя бы один мяч белый?</t>
  </si>
  <si>
    <t>n = 10</t>
  </si>
  <si>
    <t>n = 7</t>
  </si>
  <si>
    <t>n = 11</t>
  </si>
  <si>
    <t>Вероятность, что все мячи белые</t>
  </si>
  <si>
    <t>p= 0,5</t>
  </si>
  <si>
    <t>144! / 70!*74! *(0,5)^70 * (0,5)^74</t>
  </si>
  <si>
    <t>1 ящик</t>
  </si>
  <si>
    <t>2 ящик</t>
  </si>
  <si>
    <t>C(2,10) = 10!/(10-2)! *2!</t>
  </si>
  <si>
    <t>C(2,11) = 11!/(11-2)! *2!</t>
  </si>
  <si>
    <t>C(2,7) = 7!/(7-2)!*2!</t>
  </si>
  <si>
    <t>C(2,9) = 9!/(9-2)!*2!</t>
  </si>
  <si>
    <t>в процентах</t>
  </si>
  <si>
    <t>Вероятность, что все мячи белые(общ. Значение по двум ящикам)</t>
  </si>
  <si>
    <t>m =1</t>
  </si>
  <si>
    <t>n =9</t>
  </si>
  <si>
    <t>m =0</t>
  </si>
  <si>
    <t>Вероятность 2 меча белые из 2-го ящика, из другого 0</t>
  </si>
  <si>
    <t>Вероятность 2 меча белые из 1-го ящика, из другого 0</t>
  </si>
  <si>
    <t>Вероятность по 1 белому из каждого ящика</t>
  </si>
  <si>
    <t>Вероятность, что ровно два мяча белые</t>
  </si>
  <si>
    <t>C(0,9) = 9!/(9-0)!*0!</t>
  </si>
  <si>
    <t>C(1,7) = 7!/(7-1)!*1!</t>
  </si>
  <si>
    <t>C(1,9) = 9!/(9-1)!*1!</t>
  </si>
  <si>
    <t>Найдем что все мячи НЕ белые</t>
  </si>
  <si>
    <t>Вероятность, что все мячи НЕ белые</t>
  </si>
  <si>
    <t>Вероятность, что хотя бы 1 белый (1-p)</t>
  </si>
  <si>
    <t>C(0,7) = 7!/(7-0)!*0!</t>
  </si>
  <si>
    <t>n = 3</t>
  </si>
  <si>
    <t>n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</si>
</sst>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charset val="204"/>
      <scheme val="minor"/>
    </font>
    <font>
      <b/>
      <sz val="11"/>
      <color theme="1"/>
      <name val="Calibri"/>
      <family val="2"/>
      <charset val="204"/>
      <scheme val="minor"/>
    </font>
    <font>
      <b/>
      <sz val="14"/>
      <color theme="1"/>
      <name val="Calibri"/>
      <family val="2"/>
      <charset val="204"/>
      <scheme val="minor"/>
    </font>
    <font>
      <b/>
      <sz val="12"/>
      <color theme="1"/>
      <name val="Calibri"/>
      <family val="2"/>
      <charset val="204"/>
      <scheme val="minor"/>
    </font>
    <font>
      <sz val="11"/>
      <color theme="1"/>
      <name val="Calibri"/>
      <family val="2"/>
      <charset val="204"/>
    </font>
  </fonts>
  <fills count="10">
    <fill>
      <patternFill patternType="none"/>
    </fill>
    <fill>
      <patternFill patternType="gray125"/>
    </fill>
    <fill>
      <patternFill patternType="solid">
        <fgColor theme="9"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rgb="FFFFC1E0"/>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39997558519241921"/>
        <bgColor indexed="64"/>
      </patternFill>
    </fill>
  </fills>
  <borders count="2">
    <border>
      <left/>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37">
    <xf numFmtId="0" fontId="0" fillId="0" borderId="0" xfId="0"/>
    <xf numFmtId="0" fontId="0" fillId="0" borderId="0" xfId="0" applyAlignment="1">
      <alignment horizontal="center"/>
    </xf>
    <xf numFmtId="0" fontId="0" fillId="3" borderId="0" xfId="0" applyFill="1"/>
    <xf numFmtId="0" fontId="0" fillId="4" borderId="0" xfId="0" applyFill="1"/>
    <xf numFmtId="0" fontId="0" fillId="5" borderId="0" xfId="0" applyFill="1"/>
    <xf numFmtId="0" fontId="0" fillId="3" borderId="1" xfId="0" applyFill="1" applyBorder="1"/>
    <xf numFmtId="0" fontId="0" fillId="4" borderId="1" xfId="0" applyFill="1" applyBorder="1"/>
    <xf numFmtId="0" fontId="1" fillId="3" borderId="0" xfId="0" applyFont="1" applyFill="1" applyAlignment="1">
      <alignment horizontal="left"/>
    </xf>
    <xf numFmtId="0" fontId="1" fillId="4" borderId="0" xfId="0" applyFont="1" applyFill="1"/>
    <xf numFmtId="0" fontId="1" fillId="0" borderId="0" xfId="0" applyFont="1"/>
    <xf numFmtId="0" fontId="1" fillId="5" borderId="1" xfId="0" applyFont="1" applyFill="1" applyBorder="1"/>
    <xf numFmtId="0" fontId="1" fillId="0" borderId="0" xfId="0" applyFont="1" applyAlignment="1">
      <alignment wrapText="1"/>
    </xf>
    <xf numFmtId="0" fontId="3" fillId="0" borderId="0" xfId="0" applyFont="1"/>
    <xf numFmtId="0" fontId="0" fillId="6" borderId="0" xfId="0" applyFill="1"/>
    <xf numFmtId="0" fontId="2" fillId="6" borderId="0" xfId="0" applyFont="1" applyFill="1"/>
    <xf numFmtId="0" fontId="1" fillId="0" borderId="0" xfId="0" applyFont="1" applyAlignment="1">
      <alignment horizontal="center" wrapText="1"/>
    </xf>
    <xf numFmtId="0" fontId="1" fillId="0" borderId="0" xfId="0" applyFont="1" applyAlignment="1">
      <alignment horizontal="center"/>
    </xf>
    <xf numFmtId="0" fontId="4" fillId="0" borderId="0" xfId="0" applyFont="1"/>
    <xf numFmtId="0" fontId="0" fillId="0" borderId="0" xfId="0" applyAlignment="1">
      <alignment horizontal="right"/>
    </xf>
    <xf numFmtId="0" fontId="2" fillId="7" borderId="0" xfId="0" applyFont="1" applyFill="1"/>
    <xf numFmtId="0" fontId="1" fillId="6" borderId="0" xfId="0" applyFont="1" applyFill="1" applyAlignment="1">
      <alignment horizontal="center" wrapText="1"/>
    </xf>
    <xf numFmtId="0" fontId="1" fillId="0" borderId="0" xfId="0" applyFont="1" applyAlignment="1">
      <alignment horizontal="right"/>
    </xf>
    <xf numFmtId="0" fontId="1" fillId="8" borderId="0" xfId="0" applyFont="1" applyFill="1"/>
    <xf numFmtId="0" fontId="0" fillId="8" borderId="0" xfId="0" applyFill="1"/>
    <xf numFmtId="0" fontId="0" fillId="8" borderId="1" xfId="0" applyFill="1" applyBorder="1"/>
    <xf numFmtId="0" fontId="1" fillId="9" borderId="0" xfId="0" applyFont="1" applyFill="1"/>
    <xf numFmtId="0" fontId="0" fillId="9" borderId="0" xfId="0" applyFill="1"/>
    <xf numFmtId="0" fontId="0" fillId="9" borderId="1" xfId="0" applyFill="1" applyBorder="1"/>
    <xf numFmtId="0" fontId="2" fillId="0" borderId="0" xfId="0" applyFont="1" applyAlignment="1"/>
    <xf numFmtId="0" fontId="2" fillId="6" borderId="0" xfId="0" applyFont="1" applyFill="1" applyAlignment="1"/>
    <xf numFmtId="0" fontId="0" fillId="0" borderId="0" xfId="0" applyNumberFormat="1"/>
    <xf numFmtId="0" fontId="1" fillId="2" borderId="0" xfId="0" applyFont="1" applyFill="1" applyAlignment="1">
      <alignment horizontal="center" wrapText="1"/>
    </xf>
    <xf numFmtId="0" fontId="1" fillId="0" borderId="0" xfId="0" applyFont="1" applyAlignment="1">
      <alignment horizontal="left"/>
    </xf>
    <xf numFmtId="0" fontId="3" fillId="2" borderId="0" xfId="0" applyFont="1" applyFill="1" applyAlignment="1">
      <alignment horizontal="center" wrapText="1"/>
    </xf>
    <xf numFmtId="0" fontId="1" fillId="0" borderId="0" xfId="0" applyFont="1" applyAlignment="1">
      <alignment horizontal="center"/>
    </xf>
    <xf numFmtId="0" fontId="3" fillId="2" borderId="0" xfId="0" applyFont="1" applyFill="1" applyAlignment="1">
      <alignment horizontal="center"/>
    </xf>
    <xf numFmtId="0" fontId="2" fillId="6" borderId="0" xfId="0" applyFont="1" applyFill="1" applyAlignment="1">
      <alignment horizontal="right"/>
    </xf>
  </cellXfs>
  <cellStyles count="1">
    <cellStyle name="Обычный" xfId="0" builtinId="0"/>
  </cellStyles>
  <dxfs count="0"/>
  <tableStyles count="0" defaultTableStyle="TableStyleMedium2" defaultPivotStyle="PivotStyleLight16"/>
  <colors>
    <mruColors>
      <color rgb="FFFFC1E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53340</xdr:colOff>
      <xdr:row>4</xdr:row>
      <xdr:rowOff>1</xdr:rowOff>
    </xdr:from>
    <xdr:to>
      <xdr:col>4</xdr:col>
      <xdr:colOff>220980</xdr:colOff>
      <xdr:row>7</xdr:row>
      <xdr:rowOff>114301</xdr:rowOff>
    </xdr:to>
    <xdr:pic>
      <xdr:nvPicPr>
        <xdr:cNvPr id="3" name="Рисунок 2">
          <a:extLst>
            <a:ext uri="{FF2B5EF4-FFF2-40B4-BE49-F238E27FC236}">
              <a16:creationId xmlns:a16="http://schemas.microsoft.com/office/drawing/2014/main" id="{999E9A97-78B9-4AF4-B41B-E65FF351BD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340" y="1348741"/>
          <a:ext cx="2606040" cy="662940"/>
        </a:xfrm>
        <a:prstGeom prst="rect">
          <a:avLst/>
        </a:prstGeom>
      </xdr:spPr>
    </xdr:pic>
    <xdr:clientData/>
  </xdr:twoCellAnchor>
  <xdr:twoCellAnchor editAs="oneCell">
    <xdr:from>
      <xdr:col>0</xdr:col>
      <xdr:colOff>571500</xdr:colOff>
      <xdr:row>7</xdr:row>
      <xdr:rowOff>83820</xdr:rowOff>
    </xdr:from>
    <xdr:to>
      <xdr:col>2</xdr:col>
      <xdr:colOff>312420</xdr:colOff>
      <xdr:row>9</xdr:row>
      <xdr:rowOff>105987</xdr:rowOff>
    </xdr:to>
    <xdr:pic>
      <xdr:nvPicPr>
        <xdr:cNvPr id="5" name="Рисунок 4">
          <a:extLst>
            <a:ext uri="{FF2B5EF4-FFF2-40B4-BE49-F238E27FC236}">
              <a16:creationId xmlns:a16="http://schemas.microsoft.com/office/drawing/2014/main" id="{0C105D0A-4D82-4BF1-AB28-F0A7F9F04A7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71500" y="1981200"/>
          <a:ext cx="960120" cy="387927"/>
        </a:xfrm>
        <a:prstGeom prst="rect">
          <a:avLst/>
        </a:prstGeom>
      </xdr:spPr>
    </xdr:pic>
    <xdr:clientData/>
  </xdr:twoCellAnchor>
  <xdr:twoCellAnchor editAs="oneCell">
    <xdr:from>
      <xdr:col>0</xdr:col>
      <xdr:colOff>106680</xdr:colOff>
      <xdr:row>10</xdr:row>
      <xdr:rowOff>15240</xdr:rowOff>
    </xdr:from>
    <xdr:to>
      <xdr:col>5</xdr:col>
      <xdr:colOff>83820</xdr:colOff>
      <xdr:row>13</xdr:row>
      <xdr:rowOff>15240</xdr:rowOff>
    </xdr:to>
    <xdr:pic>
      <xdr:nvPicPr>
        <xdr:cNvPr id="7" name="Рисунок 6">
          <a:extLst>
            <a:ext uri="{FF2B5EF4-FFF2-40B4-BE49-F238E27FC236}">
              <a16:creationId xmlns:a16="http://schemas.microsoft.com/office/drawing/2014/main" id="{400FC337-C2F6-47F9-B51A-B790BCDFDEA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6680" y="2461260"/>
          <a:ext cx="3025140" cy="5638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236220</xdr:colOff>
      <xdr:row>10</xdr:row>
      <xdr:rowOff>0</xdr:rowOff>
    </xdr:from>
    <xdr:to>
      <xdr:col>5</xdr:col>
      <xdr:colOff>419100</xdr:colOff>
      <xdr:row>13</xdr:row>
      <xdr:rowOff>182880</xdr:rowOff>
    </xdr:to>
    <xdr:pic>
      <xdr:nvPicPr>
        <xdr:cNvPr id="3" name="Рисунок 2">
          <a:extLst>
            <a:ext uri="{FF2B5EF4-FFF2-40B4-BE49-F238E27FC236}">
              <a16:creationId xmlns:a16="http://schemas.microsoft.com/office/drawing/2014/main" id="{6276065B-C474-4C7C-8CDD-FBFEA3BC3F1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6220" y="2575560"/>
          <a:ext cx="3230880" cy="731520"/>
        </a:xfrm>
        <a:prstGeom prst="rect">
          <a:avLst/>
        </a:prstGeom>
      </xdr:spPr>
    </xdr:pic>
    <xdr:clientData/>
  </xdr:twoCellAnchor>
  <xdr:twoCellAnchor editAs="oneCell">
    <xdr:from>
      <xdr:col>0</xdr:col>
      <xdr:colOff>0</xdr:colOff>
      <xdr:row>4</xdr:row>
      <xdr:rowOff>106680</xdr:rowOff>
    </xdr:from>
    <xdr:to>
      <xdr:col>7</xdr:col>
      <xdr:colOff>99060</xdr:colOff>
      <xdr:row>9</xdr:row>
      <xdr:rowOff>106679</xdr:rowOff>
    </xdr:to>
    <xdr:pic>
      <xdr:nvPicPr>
        <xdr:cNvPr id="5" name="Рисунок 4">
          <a:extLst>
            <a:ext uri="{FF2B5EF4-FFF2-40B4-BE49-F238E27FC236}">
              <a16:creationId xmlns:a16="http://schemas.microsoft.com/office/drawing/2014/main" id="{3785A8B3-90AB-441F-BB0B-F764B52EF1F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584960"/>
          <a:ext cx="4366260" cy="9143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388620</xdr:colOff>
      <xdr:row>5</xdr:row>
      <xdr:rowOff>106681</xdr:rowOff>
    </xdr:from>
    <xdr:to>
      <xdr:col>4</xdr:col>
      <xdr:colOff>556260</xdr:colOff>
      <xdr:row>8</xdr:row>
      <xdr:rowOff>220981</xdr:rowOff>
    </xdr:to>
    <xdr:pic>
      <xdr:nvPicPr>
        <xdr:cNvPr id="7" name="Рисунок 6">
          <a:extLst>
            <a:ext uri="{FF2B5EF4-FFF2-40B4-BE49-F238E27FC236}">
              <a16:creationId xmlns:a16="http://schemas.microsoft.com/office/drawing/2014/main" id="{640A6C1E-ABE0-454B-A51F-007173AA522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8620" y="1181101"/>
          <a:ext cx="2606040" cy="662940"/>
        </a:xfrm>
        <a:prstGeom prst="rect">
          <a:avLst/>
        </a:prstGeom>
      </xdr:spPr>
    </xdr:pic>
    <xdr:clientData/>
  </xdr:twoCellAnchor>
  <xdr:twoCellAnchor editAs="oneCell">
    <xdr:from>
      <xdr:col>1</xdr:col>
      <xdr:colOff>312420</xdr:colOff>
      <xdr:row>9</xdr:row>
      <xdr:rowOff>137160</xdr:rowOff>
    </xdr:from>
    <xdr:to>
      <xdr:col>3</xdr:col>
      <xdr:colOff>53340</xdr:colOff>
      <xdr:row>11</xdr:row>
      <xdr:rowOff>159327</xdr:rowOff>
    </xdr:to>
    <xdr:pic>
      <xdr:nvPicPr>
        <xdr:cNvPr id="8" name="Рисунок 7">
          <a:extLst>
            <a:ext uri="{FF2B5EF4-FFF2-40B4-BE49-F238E27FC236}">
              <a16:creationId xmlns:a16="http://schemas.microsoft.com/office/drawing/2014/main" id="{FD9C3188-4B2A-4EC1-BF1D-A46ACB66692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2020" y="2499360"/>
          <a:ext cx="960120" cy="387927"/>
        </a:xfrm>
        <a:prstGeom prst="rect">
          <a:avLst/>
        </a:prstGeom>
      </xdr:spPr>
    </xdr:pic>
    <xdr:clientData/>
  </xdr:twoCellAnchor>
  <xdr:twoCellAnchor editAs="oneCell">
    <xdr:from>
      <xdr:col>0</xdr:col>
      <xdr:colOff>274320</xdr:colOff>
      <xdr:row>8</xdr:row>
      <xdr:rowOff>281940</xdr:rowOff>
    </xdr:from>
    <xdr:to>
      <xdr:col>5</xdr:col>
      <xdr:colOff>251460</xdr:colOff>
      <xdr:row>9</xdr:row>
      <xdr:rowOff>106680</xdr:rowOff>
    </xdr:to>
    <xdr:pic>
      <xdr:nvPicPr>
        <xdr:cNvPr id="9" name="Рисунок 8">
          <a:extLst>
            <a:ext uri="{FF2B5EF4-FFF2-40B4-BE49-F238E27FC236}">
              <a16:creationId xmlns:a16="http://schemas.microsoft.com/office/drawing/2014/main" id="{CEEA58C5-9DF0-475C-AAAD-FD663FDE84C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4320" y="1905000"/>
          <a:ext cx="3025140" cy="5638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53340</xdr:colOff>
      <xdr:row>4</xdr:row>
      <xdr:rowOff>1</xdr:rowOff>
    </xdr:from>
    <xdr:to>
      <xdr:col>5</xdr:col>
      <xdr:colOff>220980</xdr:colOff>
      <xdr:row>7</xdr:row>
      <xdr:rowOff>114301</xdr:rowOff>
    </xdr:to>
    <xdr:pic>
      <xdr:nvPicPr>
        <xdr:cNvPr id="2" name="Рисунок 1">
          <a:extLst>
            <a:ext uri="{FF2B5EF4-FFF2-40B4-BE49-F238E27FC236}">
              <a16:creationId xmlns:a16="http://schemas.microsoft.com/office/drawing/2014/main" id="{4ADC2C81-1F64-4C6F-8EEC-4E2D08591A9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340" y="1143001"/>
          <a:ext cx="2606040" cy="662940"/>
        </a:xfrm>
        <a:prstGeom prst="rect">
          <a:avLst/>
        </a:prstGeom>
      </xdr:spPr>
    </xdr:pic>
    <xdr:clientData/>
  </xdr:twoCellAnchor>
  <xdr:twoCellAnchor editAs="oneCell">
    <xdr:from>
      <xdr:col>1</xdr:col>
      <xdr:colOff>571500</xdr:colOff>
      <xdr:row>7</xdr:row>
      <xdr:rowOff>83820</xdr:rowOff>
    </xdr:from>
    <xdr:to>
      <xdr:col>3</xdr:col>
      <xdr:colOff>312420</xdr:colOff>
      <xdr:row>9</xdr:row>
      <xdr:rowOff>90747</xdr:rowOff>
    </xdr:to>
    <xdr:pic>
      <xdr:nvPicPr>
        <xdr:cNvPr id="3" name="Рисунок 2">
          <a:extLst>
            <a:ext uri="{FF2B5EF4-FFF2-40B4-BE49-F238E27FC236}">
              <a16:creationId xmlns:a16="http://schemas.microsoft.com/office/drawing/2014/main" id="{1BC7358F-5509-47E6-8F28-CB7650CCBC4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71500" y="1775460"/>
          <a:ext cx="960120" cy="387927"/>
        </a:xfrm>
        <a:prstGeom prst="rect">
          <a:avLst/>
        </a:prstGeom>
      </xdr:spPr>
    </xdr:pic>
    <xdr:clientData/>
  </xdr:twoCellAnchor>
  <xdr:twoCellAnchor editAs="oneCell">
    <xdr:from>
      <xdr:col>1</xdr:col>
      <xdr:colOff>106680</xdr:colOff>
      <xdr:row>10</xdr:row>
      <xdr:rowOff>15240</xdr:rowOff>
    </xdr:from>
    <xdr:to>
      <xdr:col>6</xdr:col>
      <xdr:colOff>83820</xdr:colOff>
      <xdr:row>13</xdr:row>
      <xdr:rowOff>45720</xdr:rowOff>
    </xdr:to>
    <xdr:pic>
      <xdr:nvPicPr>
        <xdr:cNvPr id="4" name="Рисунок 3">
          <a:extLst>
            <a:ext uri="{FF2B5EF4-FFF2-40B4-BE49-F238E27FC236}">
              <a16:creationId xmlns:a16="http://schemas.microsoft.com/office/drawing/2014/main" id="{A3D01A98-2823-4F30-8758-4CDD6C6DA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6680" y="2255520"/>
          <a:ext cx="3025140" cy="563880"/>
        </a:xfrm>
        <a:prstGeom prst="rect">
          <a:avLst/>
        </a:prstGeom>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281A9-D657-4CC7-8566-344BE794CE0A}">
  <dimension ref="A1:J18"/>
  <sheetViews>
    <sheetView workbookViewId="0">
      <selection activeCell="A2" sqref="A2:D14"/>
    </sheetView>
  </sheetViews>
  <sheetFormatPr defaultRowHeight="14.4" x14ac:dyDescent="0.3"/>
  <cols>
    <col min="7" max="7" width="17.6640625" customWidth="1"/>
    <col min="8" max="8" width="14.33203125" customWidth="1"/>
    <col min="10" max="10" width="15.33203125" customWidth="1"/>
  </cols>
  <sheetData>
    <row r="1" spans="1:10" ht="46.8" customHeight="1" x14ac:dyDescent="0.35">
      <c r="A1" s="31" t="s">
        <v>7</v>
      </c>
      <c r="B1" s="31"/>
      <c r="C1" s="31"/>
      <c r="D1" s="31"/>
      <c r="E1" s="31"/>
      <c r="F1" s="31"/>
      <c r="G1" s="31"/>
      <c r="H1" s="31"/>
      <c r="I1" s="31"/>
      <c r="J1" s="31"/>
    </row>
    <row r="3" spans="1:10" x14ac:dyDescent="0.3">
      <c r="B3" s="32" t="s">
        <v>8</v>
      </c>
      <c r="C3" s="32"/>
      <c r="D3" s="32"/>
    </row>
    <row r="5" spans="1:10" x14ac:dyDescent="0.3">
      <c r="G5" t="s">
        <v>1</v>
      </c>
    </row>
    <row r="6" spans="1:10" x14ac:dyDescent="0.3">
      <c r="G6" t="s">
        <v>9</v>
      </c>
    </row>
    <row r="7" spans="1:10" x14ac:dyDescent="0.3">
      <c r="G7" t="s">
        <v>10</v>
      </c>
    </row>
    <row r="8" spans="1:10" x14ac:dyDescent="0.3">
      <c r="G8" t="s">
        <v>11</v>
      </c>
    </row>
    <row r="11" spans="1:10" ht="15.6" x14ac:dyDescent="0.3">
      <c r="G11" s="12" t="s">
        <v>12</v>
      </c>
      <c r="H11" s="12"/>
      <c r="I11" s="12"/>
      <c r="J11" s="12"/>
    </row>
    <row r="16" spans="1:10" ht="58.2" x14ac:dyDescent="0.35">
      <c r="G16" s="15" t="s">
        <v>13</v>
      </c>
      <c r="H16" s="14">
        <f>86*87*88*89*90*91*92*93*94*95*96*97*98*99*100/(_xludf.Fact(15))*POWER(0.8,85)*POWER(0.2,15)</f>
        <v>4.8061793700746813E-2</v>
      </c>
    </row>
    <row r="18" spans="7:8" ht="18" x14ac:dyDescent="0.35">
      <c r="G18" s="16" t="s">
        <v>14</v>
      </c>
      <c r="H18" s="14">
        <f>H16*100</f>
        <v>4.8061793700746813</v>
      </c>
    </row>
  </sheetData>
  <mergeCells count="2">
    <mergeCell ref="A1:J1"/>
    <mergeCell ref="B3:D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EB3D22-D0C1-4AB3-B682-1F72FC81BE13}">
  <dimension ref="A1:N18"/>
  <sheetViews>
    <sheetView topLeftCell="D1" workbookViewId="0">
      <selection activeCell="M14" sqref="M14"/>
    </sheetView>
  </sheetViews>
  <sheetFormatPr defaultRowHeight="14.4" x14ac:dyDescent="0.3"/>
  <cols>
    <col min="9" max="10" width="15.88671875" customWidth="1"/>
    <col min="12" max="12" width="16.33203125" customWidth="1"/>
    <col min="13" max="13" width="15" customWidth="1"/>
    <col min="14" max="14" width="9.6640625" customWidth="1"/>
  </cols>
  <sheetData>
    <row r="1" spans="1:14" ht="73.2" customHeight="1" x14ac:dyDescent="0.3">
      <c r="A1" s="33" t="s">
        <v>15</v>
      </c>
      <c r="B1" s="33"/>
      <c r="C1" s="33"/>
      <c r="D1" s="33"/>
      <c r="E1" s="33"/>
      <c r="F1" s="33"/>
      <c r="G1" s="33"/>
      <c r="H1" s="33"/>
      <c r="I1" s="33"/>
      <c r="J1" s="33"/>
    </row>
    <row r="4" spans="1:14" x14ac:dyDescent="0.3">
      <c r="B4" s="34" t="s">
        <v>16</v>
      </c>
      <c r="C4" s="34"/>
    </row>
    <row r="6" spans="1:14" x14ac:dyDescent="0.3">
      <c r="J6" s="18" t="s">
        <v>18</v>
      </c>
      <c r="K6" s="1">
        <v>4.0000000000000002E-4</v>
      </c>
      <c r="M6" s="18" t="s">
        <v>18</v>
      </c>
      <c r="N6" s="1">
        <v>4.0000000000000002E-4</v>
      </c>
    </row>
    <row r="7" spans="1:14" x14ac:dyDescent="0.3">
      <c r="J7" s="18" t="s">
        <v>19</v>
      </c>
      <c r="K7" s="1">
        <v>5000</v>
      </c>
      <c r="M7" s="18" t="s">
        <v>19</v>
      </c>
      <c r="N7" s="1">
        <v>5000</v>
      </c>
    </row>
    <row r="8" spans="1:14" x14ac:dyDescent="0.3">
      <c r="J8" s="18" t="s">
        <v>20</v>
      </c>
      <c r="K8" s="1">
        <v>2</v>
      </c>
      <c r="M8" s="18" t="s">
        <v>20</v>
      </c>
      <c r="N8" s="1">
        <v>0</v>
      </c>
    </row>
    <row r="11" spans="1:14" x14ac:dyDescent="0.3">
      <c r="J11" s="17" t="s">
        <v>17</v>
      </c>
      <c r="K11">
        <f>K7*K6</f>
        <v>2</v>
      </c>
      <c r="M11" s="17" t="s">
        <v>17</v>
      </c>
      <c r="N11">
        <f>N7*N6</f>
        <v>2</v>
      </c>
    </row>
    <row r="14" spans="1:14" ht="64.2" customHeight="1" x14ac:dyDescent="0.35">
      <c r="I14" s="15" t="s">
        <v>21</v>
      </c>
      <c r="J14" s="14">
        <f>POWER(K11,K8)/(_xludf.Fact(K8))*EXP(-K11)</f>
        <v>0.2706705664732254</v>
      </c>
      <c r="L14" s="15" t="s">
        <v>23</v>
      </c>
      <c r="M14" s="14">
        <f>POWER(N11,N8)/(_xludf.Fact(N8))*EXP(-N11)</f>
        <v>0.1353352832366127</v>
      </c>
    </row>
    <row r="15" spans="1:14" ht="18" x14ac:dyDescent="0.35">
      <c r="I15" s="16" t="s">
        <v>22</v>
      </c>
      <c r="J15" s="19">
        <f>J14*100</f>
        <v>27.067056647322541</v>
      </c>
      <c r="L15" s="16" t="s">
        <v>22</v>
      </c>
      <c r="M15" s="19">
        <f>M14*100</f>
        <v>13.533528323661271</v>
      </c>
    </row>
    <row r="18" spans="9:9" x14ac:dyDescent="0.3">
      <c r="I18" s="15"/>
    </row>
  </sheetData>
  <mergeCells count="2">
    <mergeCell ref="A1:J1"/>
    <mergeCell ref="B4:C4"/>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0CC1E-95CF-405F-B761-2CE5CEB7A1D8}">
  <dimension ref="A1:I17"/>
  <sheetViews>
    <sheetView workbookViewId="0">
      <selection sqref="A1:I1"/>
    </sheetView>
  </sheetViews>
  <sheetFormatPr defaultRowHeight="14.4" x14ac:dyDescent="0.3"/>
  <cols>
    <col min="7" max="7" width="13.21875" customWidth="1"/>
    <col min="8" max="8" width="22" customWidth="1"/>
    <col min="9" max="9" width="17.21875" customWidth="1"/>
  </cols>
  <sheetData>
    <row r="1" spans="1:9" ht="27" customHeight="1" x14ac:dyDescent="0.3">
      <c r="A1" s="35" t="s">
        <v>24</v>
      </c>
      <c r="B1" s="35"/>
      <c r="C1" s="35"/>
      <c r="D1" s="35"/>
      <c r="E1" s="35"/>
      <c r="F1" s="35"/>
      <c r="G1" s="35"/>
      <c r="H1" s="35"/>
      <c r="I1" s="35"/>
    </row>
    <row r="5" spans="1:9" x14ac:dyDescent="0.3">
      <c r="B5" s="34" t="s">
        <v>8</v>
      </c>
      <c r="C5" s="34"/>
      <c r="D5" s="34"/>
    </row>
    <row r="6" spans="1:9" x14ac:dyDescent="0.3">
      <c r="G6" t="s">
        <v>26</v>
      </c>
      <c r="H6" t="s">
        <v>34</v>
      </c>
    </row>
    <row r="7" spans="1:9" x14ac:dyDescent="0.3">
      <c r="G7" t="s">
        <v>27</v>
      </c>
      <c r="H7" t="s">
        <v>25</v>
      </c>
    </row>
    <row r="9" spans="1:9" ht="58.2" x14ac:dyDescent="0.35">
      <c r="G9" s="15" t="s">
        <v>28</v>
      </c>
      <c r="H9" s="14" t="s">
        <v>35</v>
      </c>
      <c r="I9" s="14"/>
    </row>
    <row r="17" ht="62.4" customHeight="1" x14ac:dyDescent="0.3"/>
  </sheetData>
  <mergeCells count="2">
    <mergeCell ref="A1:I1"/>
    <mergeCell ref="B5:D5"/>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223B2-F9C9-483D-865A-512B4AD5470A}">
  <dimension ref="A1:AN33"/>
  <sheetViews>
    <sheetView tabSelected="1" workbookViewId="0">
      <selection activeCell="AG18" sqref="AG18"/>
    </sheetView>
  </sheetViews>
  <sheetFormatPr defaultRowHeight="14.4" x14ac:dyDescent="0.3"/>
  <cols>
    <col min="9" max="9" width="15.21875" customWidth="1"/>
    <col min="10" max="10" width="13.109375" customWidth="1"/>
    <col min="12" max="12" width="15.6640625" customWidth="1"/>
    <col min="13" max="13" width="8.33203125" customWidth="1"/>
    <col min="14" max="14" width="8.6640625" customWidth="1"/>
    <col min="15" max="15" width="15.77734375" customWidth="1"/>
    <col min="16" max="16" width="11.33203125" customWidth="1"/>
    <col min="17" max="17" width="9.109375" customWidth="1"/>
    <col min="18" max="18" width="11.77734375" customWidth="1"/>
    <col min="20" max="20" width="10.6640625" customWidth="1"/>
    <col min="21" max="21" width="11.77734375" customWidth="1"/>
    <col min="22" max="22" width="12.21875" customWidth="1"/>
    <col min="24" max="24" width="17.109375" customWidth="1"/>
    <col min="27" max="27" width="14.6640625" customWidth="1"/>
    <col min="28" max="30" width="11.5546875" customWidth="1"/>
    <col min="32" max="32" width="14.77734375" customWidth="1"/>
    <col min="37" max="37" width="12" customWidth="1"/>
    <col min="40" max="40" width="12.44140625" customWidth="1"/>
    <col min="41" max="41" width="12" bestFit="1" customWidth="1"/>
  </cols>
  <sheetData>
    <row r="1" spans="1:40" ht="63.6" customHeight="1" x14ac:dyDescent="0.3">
      <c r="A1" s="31" t="s">
        <v>29</v>
      </c>
      <c r="B1" s="31"/>
      <c r="C1" s="31"/>
      <c r="D1" s="31"/>
      <c r="E1" s="31"/>
      <c r="F1" s="31"/>
      <c r="G1" s="31"/>
      <c r="H1" s="31"/>
      <c r="I1" s="31"/>
    </row>
    <row r="2" spans="1:40" x14ac:dyDescent="0.3">
      <c r="H2" s="13">
        <v>1</v>
      </c>
      <c r="N2" s="13">
        <v>2</v>
      </c>
      <c r="AJ2" s="13">
        <v>3</v>
      </c>
      <c r="AK2" t="s">
        <v>54</v>
      </c>
    </row>
    <row r="3" spans="1:40" x14ac:dyDescent="0.3">
      <c r="C3" s="32" t="s">
        <v>8</v>
      </c>
      <c r="D3" s="32"/>
      <c r="E3" s="32"/>
      <c r="I3" s="16" t="s">
        <v>36</v>
      </c>
      <c r="L3" s="16" t="s">
        <v>37</v>
      </c>
      <c r="O3" t="s">
        <v>36</v>
      </c>
      <c r="R3" t="s">
        <v>37</v>
      </c>
      <c r="U3" t="s">
        <v>36</v>
      </c>
      <c r="X3" t="s">
        <v>37</v>
      </c>
      <c r="AA3" t="s">
        <v>36</v>
      </c>
      <c r="AF3" t="s">
        <v>37</v>
      </c>
      <c r="AK3" s="16" t="s">
        <v>36</v>
      </c>
      <c r="AN3" s="16" t="s">
        <v>37</v>
      </c>
    </row>
    <row r="4" spans="1:40" x14ac:dyDescent="0.3">
      <c r="H4" s="7" t="s">
        <v>5</v>
      </c>
      <c r="I4" s="2"/>
      <c r="K4" s="7" t="s">
        <v>5</v>
      </c>
      <c r="L4" s="2"/>
      <c r="N4" s="7" t="s">
        <v>5</v>
      </c>
      <c r="O4" s="2"/>
      <c r="Q4" s="7" t="s">
        <v>5</v>
      </c>
      <c r="R4" s="2"/>
      <c r="T4" s="7" t="s">
        <v>5</v>
      </c>
      <c r="U4" s="2"/>
      <c r="W4" s="7" t="s">
        <v>5</v>
      </c>
      <c r="X4" s="2"/>
      <c r="Z4" s="7" t="s">
        <v>5</v>
      </c>
      <c r="AA4" s="2"/>
      <c r="AE4" s="7" t="s">
        <v>5</v>
      </c>
      <c r="AF4" s="2"/>
      <c r="AJ4" s="7" t="s">
        <v>5</v>
      </c>
      <c r="AK4" s="2"/>
      <c r="AM4" s="7" t="s">
        <v>5</v>
      </c>
      <c r="AN4" s="2"/>
    </row>
    <row r="5" spans="1:40" x14ac:dyDescent="0.3">
      <c r="H5" s="2" t="s">
        <v>0</v>
      </c>
      <c r="I5" s="2">
        <v>2</v>
      </c>
      <c r="K5" s="2" t="s">
        <v>0</v>
      </c>
      <c r="L5" s="2">
        <v>2</v>
      </c>
      <c r="N5" s="2" t="s">
        <v>0</v>
      </c>
      <c r="O5" s="2">
        <v>2</v>
      </c>
      <c r="Q5" s="2" t="s">
        <v>0</v>
      </c>
      <c r="R5" s="2">
        <v>2</v>
      </c>
      <c r="T5" s="2" t="s">
        <v>0</v>
      </c>
      <c r="U5" s="2">
        <v>2</v>
      </c>
      <c r="W5" s="2" t="s">
        <v>0</v>
      </c>
      <c r="X5" s="2">
        <v>2</v>
      </c>
      <c r="Z5" s="2" t="s">
        <v>0</v>
      </c>
      <c r="AA5" s="2">
        <v>2</v>
      </c>
      <c r="AE5" s="2" t="s">
        <v>0</v>
      </c>
      <c r="AF5" s="2">
        <v>2</v>
      </c>
      <c r="AJ5" s="2" t="s">
        <v>0</v>
      </c>
      <c r="AK5" s="2">
        <v>2</v>
      </c>
      <c r="AM5" s="2" t="s">
        <v>0</v>
      </c>
      <c r="AN5" s="2">
        <v>2</v>
      </c>
    </row>
    <row r="6" spans="1:40" x14ac:dyDescent="0.3">
      <c r="H6" s="2" t="s">
        <v>30</v>
      </c>
      <c r="I6" s="2">
        <v>10</v>
      </c>
      <c r="K6" s="2" t="s">
        <v>32</v>
      </c>
      <c r="L6" s="2">
        <v>11</v>
      </c>
      <c r="N6" s="2" t="s">
        <v>30</v>
      </c>
      <c r="O6" s="2">
        <v>10</v>
      </c>
      <c r="Q6" s="2" t="s">
        <v>32</v>
      </c>
      <c r="R6" s="2">
        <v>11</v>
      </c>
      <c r="T6" s="2" t="s">
        <v>30</v>
      </c>
      <c r="U6" s="2">
        <v>10</v>
      </c>
      <c r="W6" s="2" t="s">
        <v>32</v>
      </c>
      <c r="X6" s="2">
        <v>11</v>
      </c>
      <c r="Z6" s="2" t="s">
        <v>30</v>
      </c>
      <c r="AA6" s="2">
        <v>10</v>
      </c>
      <c r="AE6" s="2" t="s">
        <v>32</v>
      </c>
      <c r="AF6" s="2">
        <v>11</v>
      </c>
      <c r="AJ6" s="2" t="s">
        <v>30</v>
      </c>
      <c r="AK6" s="2">
        <v>10</v>
      </c>
      <c r="AM6" s="2" t="s">
        <v>32</v>
      </c>
      <c r="AN6" s="2">
        <v>11</v>
      </c>
    </row>
    <row r="7" spans="1:40" x14ac:dyDescent="0.3">
      <c r="H7" s="2"/>
      <c r="I7" s="2"/>
      <c r="K7" s="2"/>
      <c r="L7" s="2"/>
      <c r="N7" s="2"/>
      <c r="O7" s="2"/>
      <c r="Q7" s="2"/>
      <c r="R7" s="2"/>
      <c r="T7" s="2"/>
      <c r="U7" s="2"/>
      <c r="W7" s="2"/>
      <c r="X7" s="2"/>
      <c r="Z7" s="2"/>
      <c r="AA7" s="2"/>
      <c r="AE7" s="2"/>
      <c r="AF7" s="2"/>
      <c r="AJ7" s="2"/>
      <c r="AK7" s="2"/>
      <c r="AM7" s="2"/>
      <c r="AN7" s="2"/>
    </row>
    <row r="8" spans="1:40" ht="15" thickBot="1" x14ac:dyDescent="0.35">
      <c r="H8" s="2" t="s">
        <v>38</v>
      </c>
      <c r="I8" s="2"/>
      <c r="K8" s="2" t="s">
        <v>39</v>
      </c>
      <c r="L8" s="2"/>
      <c r="N8" s="2" t="s">
        <v>38</v>
      </c>
      <c r="O8" s="2"/>
      <c r="Q8" s="2" t="s">
        <v>39</v>
      </c>
      <c r="R8" s="2"/>
      <c r="T8" s="2" t="s">
        <v>38</v>
      </c>
      <c r="U8" s="2"/>
      <c r="W8" s="2" t="s">
        <v>39</v>
      </c>
      <c r="X8" s="2"/>
      <c r="Z8" s="2" t="s">
        <v>38</v>
      </c>
      <c r="AA8" s="2"/>
      <c r="AE8" s="2" t="s">
        <v>39</v>
      </c>
      <c r="AF8" s="2"/>
      <c r="AJ8" s="2" t="s">
        <v>38</v>
      </c>
      <c r="AK8" s="2"/>
      <c r="AM8" s="2" t="s">
        <v>39</v>
      </c>
      <c r="AN8" s="2"/>
    </row>
    <row r="9" spans="1:40" ht="15" thickBot="1" x14ac:dyDescent="0.35">
      <c r="H9" s="2"/>
      <c r="I9" s="5">
        <f>_xludf.Fact(I6)/(_xludf.Fact(I6-I5)*_xludf.Fact(I5))</f>
        <v>45</v>
      </c>
      <c r="K9" s="2"/>
      <c r="L9" s="5">
        <f>_xludf.Fact(L6)/(_xludf.Fact(L6-L5)*_xludf.Fact(L5))</f>
        <v>55</v>
      </c>
      <c r="N9" s="2"/>
      <c r="O9" s="5">
        <f>_xludf.Fact(O6)/(_xludf.Fact(O6-O5)*_xludf.Fact(O5))</f>
        <v>45</v>
      </c>
      <c r="Q9" s="2"/>
      <c r="R9" s="5">
        <f>_xludf.Fact(R6)/(_xludf.Fact(R6-R5)*_xludf.Fact(R5))</f>
        <v>55</v>
      </c>
      <c r="T9" s="2"/>
      <c r="U9" s="5">
        <f>_xludf.Fact(U6)/(_xludf.Fact(U6-U5)*_xludf.Fact(U5))</f>
        <v>45</v>
      </c>
      <c r="W9" s="2"/>
      <c r="X9" s="5">
        <f>_xludf.Fact(X6)/(_xludf.Fact(X6-X5)*_xludf.Fact(X5))</f>
        <v>55</v>
      </c>
      <c r="Z9" s="2"/>
      <c r="AA9" s="5">
        <f>_xludf.Fact(AA6)/(_xludf.Fact(AA6-AA5)*_xludf.Fact(AA5))</f>
        <v>45</v>
      </c>
      <c r="AE9" s="2"/>
      <c r="AF9" s="5">
        <f>_xludf.Fact(AF6)/(_xludf.Fact(AF6-AF5)*_xludf.Fact(AF5))</f>
        <v>55</v>
      </c>
      <c r="AJ9" s="2"/>
      <c r="AK9" s="5">
        <f>_xludf.Fact(AK6)/(_xludf.Fact(AK6-AK5)*_xludf.Fact(AK5))</f>
        <v>45</v>
      </c>
      <c r="AM9" s="2"/>
      <c r="AN9" s="5">
        <f>_xludf.Fact(AN6)/(_xludf.Fact(AN6-AN5)*_xludf.Fact(AN5))</f>
        <v>55</v>
      </c>
    </row>
    <row r="12" spans="1:40" x14ac:dyDescent="0.3">
      <c r="H12" s="8" t="s">
        <v>6</v>
      </c>
      <c r="I12" s="3"/>
      <c r="K12" s="8" t="s">
        <v>6</v>
      </c>
      <c r="L12" s="3"/>
      <c r="N12" s="22" t="s">
        <v>6</v>
      </c>
      <c r="O12" s="23"/>
      <c r="Q12" s="22" t="s">
        <v>6</v>
      </c>
      <c r="R12" s="23"/>
      <c r="T12" s="8" t="s">
        <v>6</v>
      </c>
      <c r="U12" s="3"/>
      <c r="W12" s="8" t="s">
        <v>6</v>
      </c>
      <c r="X12" s="3"/>
      <c r="Z12" s="25" t="s">
        <v>6</v>
      </c>
      <c r="AA12" s="26"/>
      <c r="AB12" s="25" t="s">
        <v>6</v>
      </c>
      <c r="AC12" s="26"/>
      <c r="AE12" s="25" t="s">
        <v>6</v>
      </c>
      <c r="AF12" s="26"/>
      <c r="AG12" s="25" t="s">
        <v>6</v>
      </c>
      <c r="AH12" s="26"/>
      <c r="AJ12" s="8" t="s">
        <v>6</v>
      </c>
      <c r="AK12" s="3"/>
      <c r="AM12" s="8" t="s">
        <v>6</v>
      </c>
      <c r="AN12" s="3"/>
    </row>
    <row r="13" spans="1:40" x14ac:dyDescent="0.3">
      <c r="H13" s="3" t="s">
        <v>2</v>
      </c>
      <c r="I13" s="3">
        <v>2</v>
      </c>
      <c r="K13" s="3" t="s">
        <v>2</v>
      </c>
      <c r="L13" s="3">
        <v>2</v>
      </c>
      <c r="N13" s="23" t="s">
        <v>2</v>
      </c>
      <c r="O13" s="23">
        <v>2</v>
      </c>
      <c r="Q13" s="23" t="s">
        <v>46</v>
      </c>
      <c r="R13" s="23">
        <v>0</v>
      </c>
      <c r="T13" s="3" t="s">
        <v>46</v>
      </c>
      <c r="U13" s="3">
        <v>0</v>
      </c>
      <c r="W13" s="3" t="s">
        <v>2</v>
      </c>
      <c r="X13" s="3">
        <v>2</v>
      </c>
      <c r="Z13" s="26" t="s">
        <v>44</v>
      </c>
      <c r="AA13" s="26">
        <v>1</v>
      </c>
      <c r="AB13" s="26" t="s">
        <v>44</v>
      </c>
      <c r="AC13" s="26">
        <v>1</v>
      </c>
      <c r="AE13" s="26" t="s">
        <v>44</v>
      </c>
      <c r="AF13" s="26">
        <v>1</v>
      </c>
      <c r="AG13" s="26" t="s">
        <v>44</v>
      </c>
      <c r="AH13" s="26">
        <v>1</v>
      </c>
      <c r="AJ13" s="3" t="s">
        <v>2</v>
      </c>
      <c r="AK13" s="3">
        <v>2</v>
      </c>
      <c r="AM13" s="3" t="s">
        <v>2</v>
      </c>
      <c r="AN13" s="3">
        <v>2</v>
      </c>
    </row>
    <row r="14" spans="1:40" x14ac:dyDescent="0.3">
      <c r="H14" s="3" t="s">
        <v>31</v>
      </c>
      <c r="I14" s="3">
        <v>7</v>
      </c>
      <c r="K14" s="3" t="s">
        <v>4</v>
      </c>
      <c r="L14" s="3">
        <v>9</v>
      </c>
      <c r="N14" s="23" t="s">
        <v>31</v>
      </c>
      <c r="O14" s="23">
        <v>7</v>
      </c>
      <c r="Q14" s="23" t="s">
        <v>45</v>
      </c>
      <c r="R14" s="23">
        <v>9</v>
      </c>
      <c r="T14" s="3" t="s">
        <v>31</v>
      </c>
      <c r="U14" s="3">
        <v>7</v>
      </c>
      <c r="W14" s="3" t="s">
        <v>4</v>
      </c>
      <c r="X14" s="3">
        <v>9</v>
      </c>
      <c r="Z14" s="26" t="s">
        <v>31</v>
      </c>
      <c r="AA14" s="26">
        <v>7</v>
      </c>
      <c r="AB14" s="26" t="s">
        <v>58</v>
      </c>
      <c r="AC14" s="26">
        <v>3</v>
      </c>
      <c r="AE14" s="26" t="s">
        <v>4</v>
      </c>
      <c r="AF14" s="26">
        <v>9</v>
      </c>
      <c r="AG14" s="26" t="s">
        <v>59</v>
      </c>
      <c r="AH14" s="26">
        <v>2</v>
      </c>
      <c r="AJ14" s="3" t="s">
        <v>31</v>
      </c>
      <c r="AK14" s="3">
        <v>3</v>
      </c>
      <c r="AM14" s="3" t="s">
        <v>4</v>
      </c>
      <c r="AN14" s="3">
        <v>2</v>
      </c>
    </row>
    <row r="15" spans="1:40" x14ac:dyDescent="0.3">
      <c r="H15" s="3"/>
      <c r="I15" s="3"/>
      <c r="K15" s="3"/>
      <c r="L15" s="3"/>
      <c r="N15" s="23"/>
      <c r="O15" s="23"/>
      <c r="Q15" s="23"/>
      <c r="R15" s="23"/>
      <c r="T15" s="3"/>
      <c r="U15" s="3"/>
      <c r="W15" s="3"/>
      <c r="X15" s="3"/>
      <c r="Z15" s="26"/>
      <c r="AA15" s="26"/>
      <c r="AB15" s="26"/>
      <c r="AC15" s="26"/>
      <c r="AE15" s="26"/>
      <c r="AF15" s="26"/>
      <c r="AG15" s="26"/>
      <c r="AH15" s="26"/>
      <c r="AJ15" s="3"/>
      <c r="AK15" s="3"/>
      <c r="AM15" s="3"/>
      <c r="AN15" s="3"/>
    </row>
    <row r="16" spans="1:40" ht="19.2" customHeight="1" thickBot="1" x14ac:dyDescent="0.35">
      <c r="H16" s="3" t="s">
        <v>40</v>
      </c>
      <c r="I16" s="3"/>
      <c r="K16" s="3" t="s">
        <v>41</v>
      </c>
      <c r="L16" s="3"/>
      <c r="N16" s="23" t="s">
        <v>40</v>
      </c>
      <c r="O16" s="23"/>
      <c r="Q16" s="23" t="s">
        <v>51</v>
      </c>
      <c r="R16" s="23"/>
      <c r="T16" s="3" t="s">
        <v>57</v>
      </c>
      <c r="U16" s="3"/>
      <c r="W16" s="3" t="s">
        <v>41</v>
      </c>
      <c r="X16" s="3"/>
      <c r="Z16" s="26" t="s">
        <v>52</v>
      </c>
      <c r="AA16" s="26"/>
      <c r="AB16" s="26"/>
      <c r="AC16" s="26"/>
      <c r="AE16" s="26" t="s">
        <v>53</v>
      </c>
      <c r="AF16" s="26"/>
      <c r="AG16" s="26"/>
      <c r="AH16" s="26"/>
      <c r="AJ16" s="3" t="s">
        <v>52</v>
      </c>
      <c r="AK16" s="3"/>
      <c r="AM16" s="3" t="s">
        <v>51</v>
      </c>
      <c r="AN16" s="3"/>
    </row>
    <row r="17" spans="3:40" ht="15" thickBot="1" x14ac:dyDescent="0.35">
      <c r="H17" s="3"/>
      <c r="I17" s="6">
        <f>_xludf.Fact(I14)/(_xludf.Fact(I14-I13)*_xludf.Fact(I13))</f>
        <v>21</v>
      </c>
      <c r="K17" s="3"/>
      <c r="L17" s="6">
        <f>_xludf.Fact(L14)/(_xludf.Fact(L14-L13)*_xludf.Fact(L13))</f>
        <v>36</v>
      </c>
      <c r="N17" s="23"/>
      <c r="O17" s="24">
        <f>_xludf.Fact(O14)/(_xludf.Fact(O14-O13)*_xludf.Fact(O13))</f>
        <v>21</v>
      </c>
      <c r="Q17" s="23"/>
      <c r="R17" s="24">
        <f>_xludf.Fact(R14)/(_xludf.Fact(R14-R13)*_xludf.Fact(R13))</f>
        <v>1</v>
      </c>
      <c r="T17" s="3"/>
      <c r="U17" s="6">
        <f>_xludf.Fact(U14)/(_xludf.Fact(U14-U13)*_xludf.Fact(U13))</f>
        <v>1</v>
      </c>
      <c r="W17" s="3"/>
      <c r="X17" s="6">
        <f>_xludf.Fact(X14)/(_xludf.Fact(X14-X13)*_xludf.Fact(X13))</f>
        <v>36</v>
      </c>
      <c r="Z17" s="26"/>
      <c r="AA17" s="27">
        <f>_xludf.Fact(AA14)/(_xludf.Fact(AA14-AA13)*_xludf.Fact(AA13))</f>
        <v>7</v>
      </c>
      <c r="AB17" s="26"/>
      <c r="AC17" s="27">
        <f>_xludf.Fact(AC14)/(_xludf.Fact(AC14-AC13)*_xludf.Fact(AC13))</f>
        <v>3</v>
      </c>
      <c r="AE17" s="26"/>
      <c r="AF17" s="27">
        <f>_xludf.Fact(AF14)/(_xludf.Fact(AF14-AF13)*_xludf.Fact(AF13))</f>
        <v>9</v>
      </c>
      <c r="AG17" s="26"/>
      <c r="AH17" s="27">
        <f>_xludf.Fact(AH14)/(_xludf.Fact(AH14-AH13)*_xludf.Fact(AH13))</f>
        <v>2</v>
      </c>
      <c r="AJ17" s="3"/>
      <c r="AK17" s="6">
        <f>_xludf.Fact(AK14)/(_xludf.Fact(AK14-AK13)*_xludf.Fact(AK13))</f>
        <v>3</v>
      </c>
      <c r="AM17" s="3"/>
      <c r="AN17" s="6">
        <f>_xludf.Fact(AN14)/(_xludf.Fact(AN14-AN13)*_xludf.Fact(AN13))</f>
        <v>1</v>
      </c>
    </row>
    <row r="19" spans="3:40" x14ac:dyDescent="0.3">
      <c r="C19">
        <f>7*9</f>
        <v>63</v>
      </c>
    </row>
    <row r="20" spans="3:40" x14ac:dyDescent="0.3">
      <c r="C20">
        <f>10*11</f>
        <v>110</v>
      </c>
    </row>
    <row r="21" spans="3:40" x14ac:dyDescent="0.3">
      <c r="H21" t="s">
        <v>3</v>
      </c>
      <c r="K21" t="s">
        <v>3</v>
      </c>
      <c r="N21" t="s">
        <v>3</v>
      </c>
      <c r="Q21" t="s">
        <v>3</v>
      </c>
      <c r="T21" t="s">
        <v>3</v>
      </c>
      <c r="W21" t="s">
        <v>3</v>
      </c>
      <c r="Z21" t="s">
        <v>3</v>
      </c>
      <c r="AE21" t="s">
        <v>3</v>
      </c>
      <c r="AJ21" t="s">
        <v>3</v>
      </c>
      <c r="AM21" t="s">
        <v>3</v>
      </c>
    </row>
    <row r="22" spans="3:40" ht="15" thickBot="1" x14ac:dyDescent="0.35">
      <c r="H22" s="4">
        <f>I17/I9</f>
        <v>0.46666666666666667</v>
      </c>
      <c r="I22" s="4"/>
      <c r="K22" s="4">
        <f>L17/L9</f>
        <v>0.65454545454545454</v>
      </c>
      <c r="L22" s="4"/>
      <c r="N22" s="4">
        <f>O17/O9</f>
        <v>0.46666666666666667</v>
      </c>
      <c r="O22" s="4"/>
      <c r="Q22" s="4">
        <f>R17/R9</f>
        <v>1.8181818181818181E-2</v>
      </c>
      <c r="R22" s="4"/>
      <c r="T22" s="4">
        <f>U17/U9</f>
        <v>2.2222222222222223E-2</v>
      </c>
      <c r="U22" s="4"/>
      <c r="W22" s="4">
        <f>X17/X9</f>
        <v>0.65454545454545454</v>
      </c>
      <c r="X22" s="4"/>
      <c r="Z22" s="4">
        <f>AA17*AC17/AA9</f>
        <v>0.46666666666666667</v>
      </c>
      <c r="AA22" s="4"/>
      <c r="AE22" s="4">
        <f>AF17*AH17/AF9</f>
        <v>0.32727272727272727</v>
      </c>
      <c r="AF22" s="4"/>
      <c r="AJ22" s="4">
        <f>AK17/AK9</f>
        <v>6.6666666666666666E-2</v>
      </c>
      <c r="AK22" s="4"/>
      <c r="AM22" s="4">
        <f>AN17/AN9</f>
        <v>1.8181818181818181E-2</v>
      </c>
      <c r="AN22" s="4"/>
    </row>
    <row r="23" spans="3:40" ht="72.599999999999994" thickBot="1" x14ac:dyDescent="0.35">
      <c r="C23">
        <f>C19/C20</f>
        <v>0.57272727272727275</v>
      </c>
      <c r="H23" s="11" t="s">
        <v>33</v>
      </c>
      <c r="I23" s="10">
        <f>H22*100</f>
        <v>46.666666666666664</v>
      </c>
      <c r="K23" s="11" t="s">
        <v>33</v>
      </c>
      <c r="L23" s="10">
        <f>K22*100</f>
        <v>65.454545454545453</v>
      </c>
      <c r="N23" s="11" t="s">
        <v>33</v>
      </c>
      <c r="O23" s="10">
        <f>N22*100</f>
        <v>46.666666666666664</v>
      </c>
      <c r="Q23" s="11" t="s">
        <v>33</v>
      </c>
      <c r="R23" s="10">
        <f>Q22*100</f>
        <v>1.8181818181818181</v>
      </c>
      <c r="T23" s="11" t="s">
        <v>33</v>
      </c>
      <c r="U23" s="10">
        <f>T22*100</f>
        <v>2.2222222222222223</v>
      </c>
      <c r="W23" s="11" t="s">
        <v>33</v>
      </c>
      <c r="X23" s="10">
        <f>W22*100</f>
        <v>65.454545454545453</v>
      </c>
      <c r="Z23" s="11" t="s">
        <v>33</v>
      </c>
      <c r="AA23" s="10">
        <f>Z22*100</f>
        <v>46.666666666666664</v>
      </c>
      <c r="AE23" s="11" t="s">
        <v>33</v>
      </c>
      <c r="AF23" s="10">
        <f>AE22*100</f>
        <v>32.727272727272727</v>
      </c>
      <c r="AJ23" s="11" t="s">
        <v>33</v>
      </c>
      <c r="AK23" s="10">
        <f>AJ22*100</f>
        <v>6.666666666666667</v>
      </c>
      <c r="AM23" s="11" t="s">
        <v>33</v>
      </c>
      <c r="AN23" s="10">
        <f>AM22*100</f>
        <v>1.8181818181818181</v>
      </c>
    </row>
    <row r="25" spans="3:40" ht="69.599999999999994" customHeight="1" x14ac:dyDescent="0.3">
      <c r="J25" s="20" t="s">
        <v>43</v>
      </c>
      <c r="P25" s="20" t="s">
        <v>48</v>
      </c>
      <c r="V25" s="20" t="s">
        <v>47</v>
      </c>
      <c r="AB25" s="20" t="s">
        <v>49</v>
      </c>
      <c r="AC25" s="20"/>
      <c r="AD25" s="20"/>
      <c r="AL25" s="20" t="s">
        <v>55</v>
      </c>
      <c r="AM25" s="20" t="s">
        <v>56</v>
      </c>
    </row>
    <row r="26" spans="3:40" x14ac:dyDescent="0.3">
      <c r="J26" s="9">
        <f>H22*K22</f>
        <v>0.30545454545454548</v>
      </c>
      <c r="P26" s="9">
        <f>N22*Q22</f>
        <v>8.484848484848484E-3</v>
      </c>
      <c r="V26" s="9">
        <f>T22*W22</f>
        <v>1.4545454545454545E-2</v>
      </c>
      <c r="AB26" s="9">
        <f>Z22*AE22</f>
        <v>0.15272727272727274</v>
      </c>
      <c r="AC26" s="9"/>
      <c r="AD26" s="9"/>
      <c r="AL26" s="9">
        <f>AJ22*AM22</f>
        <v>1.2121212121212121E-3</v>
      </c>
      <c r="AM26" s="9">
        <f>1-AL26</f>
        <v>0.99878787878787878</v>
      </c>
    </row>
    <row r="27" spans="3:40" x14ac:dyDescent="0.3">
      <c r="I27" s="21" t="s">
        <v>42</v>
      </c>
      <c r="J27" s="9">
        <f>J26*100</f>
        <v>30.545454545454547</v>
      </c>
      <c r="AK27" s="21"/>
      <c r="AL27" s="9"/>
    </row>
    <row r="29" spans="3:40" ht="18" x14ac:dyDescent="0.35">
      <c r="R29" s="36" t="s">
        <v>50</v>
      </c>
      <c r="S29" s="36"/>
      <c r="T29" s="36"/>
      <c r="U29" s="36"/>
      <c r="V29" s="36"/>
      <c r="W29" s="36"/>
      <c r="X29" s="29">
        <f>P26+V26+AB26</f>
        <v>0.17575757575757578</v>
      </c>
    </row>
    <row r="30" spans="3:40" ht="18" x14ac:dyDescent="0.35">
      <c r="Q30" s="28"/>
      <c r="R30" s="28"/>
      <c r="S30" s="28"/>
      <c r="T30" s="28"/>
      <c r="U30" s="28"/>
      <c r="V30" s="28"/>
      <c r="W30" s="28"/>
      <c r="X30" s="28"/>
      <c r="Y30" s="28"/>
      <c r="Z30" s="28"/>
      <c r="AA30" s="28"/>
      <c r="AB30" s="28"/>
      <c r="AC30" s="28"/>
      <c r="AD30" s="28"/>
    </row>
    <row r="33" spans="28:30" x14ac:dyDescent="0.3">
      <c r="AB33" s="30"/>
      <c r="AC33" s="30"/>
      <c r="AD33" s="30"/>
    </row>
  </sheetData>
  <mergeCells count="3">
    <mergeCell ref="A1:I1"/>
    <mergeCell ref="C3:E3"/>
    <mergeCell ref="R29:W29"/>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1</vt:lpstr>
      <vt:lpstr>2</vt:lpstr>
      <vt:lpstr>3</vt:lpstr>
      <vt:lpstr>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Вероника Акулова</dc:creator>
  <cp:lastModifiedBy>Вероника Акулова</cp:lastModifiedBy>
  <dcterms:created xsi:type="dcterms:W3CDTF">2023-03-21T17:44:14Z</dcterms:created>
  <dcterms:modified xsi:type="dcterms:W3CDTF">2023-04-03T20:33:04Z</dcterms:modified>
</cp:coreProperties>
</file>